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4Balls\"/>
    </mc:Choice>
  </mc:AlternateContent>
  <xr:revisionPtr revIDLastSave="0" documentId="8_{A9152115-59DF-4338-8083-1F0E0CD76DA8}" xr6:coauthVersionLast="47" xr6:coauthVersionMax="47" xr10:uidLastSave="{00000000-0000-0000-0000-000000000000}"/>
  <bookViews>
    <workbookView xWindow="-108" yWindow="-108" windowWidth="23256" windowHeight="12456" xr2:uid="{F82EE945-2CB6-4ACD-9909-E163EA0EED01}"/>
  </bookViews>
  <sheets>
    <sheet name="IPS" sheetId="1" r:id="rId1"/>
    <sheet name="Strokes" sheetId="12" r:id="rId2"/>
    <sheet name="LIV" sheetId="6" r:id="rId3"/>
    <sheet name="Akasia" sheetId="4" r:id="rId4"/>
    <sheet name="PGC" sheetId="14" r:id="rId5"/>
    <sheet name="Kyalami" sheetId="15" r:id="rId6"/>
    <sheet name="CopperLeaf" sheetId="16" r:id="rId7"/>
    <sheet name="Services" sheetId="18" r:id="rId8"/>
    <sheet name="Sheet2" sheetId="17" r:id="rId9"/>
  </sheets>
  <externalReferences>
    <externalReference r:id="rId10"/>
    <externalReference r:id="rId11"/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6" l="1"/>
  <c r="K3" i="16"/>
  <c r="K4" i="16"/>
  <c r="K5" i="16"/>
  <c r="K6" i="16"/>
  <c r="K7" i="16"/>
  <c r="K8" i="16"/>
  <c r="K9" i="16"/>
  <c r="K10" i="16"/>
  <c r="K11" i="16"/>
  <c r="K12" i="16"/>
  <c r="K13" i="16"/>
  <c r="K14" i="16"/>
  <c r="K15" i="16"/>
  <c r="K16" i="16"/>
  <c r="D2" i="18"/>
  <c r="D3" i="18"/>
  <c r="D4" i="18"/>
  <c r="D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I14" i="1" l="1"/>
  <c r="G3" i="12"/>
  <c r="G2" i="12"/>
  <c r="G4" i="12"/>
  <c r="G7" i="12"/>
  <c r="G5" i="12"/>
  <c r="G11" i="12"/>
  <c r="G6" i="12"/>
  <c r="G13" i="12"/>
  <c r="G18" i="12"/>
  <c r="G19" i="12"/>
  <c r="G12" i="12"/>
  <c r="G8" i="12"/>
  <c r="G10" i="12"/>
  <c r="G9" i="12"/>
  <c r="G21" i="12"/>
  <c r="G14" i="12"/>
  <c r="G22" i="12"/>
  <c r="G23" i="12"/>
  <c r="G15" i="12"/>
  <c r="G16" i="12"/>
  <c r="G17" i="12"/>
  <c r="G20" i="12"/>
  <c r="G25" i="12"/>
  <c r="G26" i="12"/>
  <c r="G27" i="12"/>
  <c r="G28" i="12"/>
  <c r="G24" i="12"/>
  <c r="F3" i="12"/>
  <c r="F2" i="12"/>
  <c r="F4" i="12"/>
  <c r="F7" i="12"/>
  <c r="F5" i="12"/>
  <c r="F11" i="12"/>
  <c r="F6" i="12"/>
  <c r="F13" i="12"/>
  <c r="F18" i="12"/>
  <c r="F19" i="12"/>
  <c r="F12" i="12"/>
  <c r="F8" i="12"/>
  <c r="F10" i="12"/>
  <c r="F9" i="12"/>
  <c r="F21" i="12"/>
  <c r="F14" i="12"/>
  <c r="F22" i="12"/>
  <c r="F23" i="12"/>
  <c r="F15" i="12"/>
  <c r="F16" i="12"/>
  <c r="F17" i="12"/>
  <c r="F20" i="12"/>
  <c r="F25" i="12"/>
  <c r="F26" i="12"/>
  <c r="F27" i="12"/>
  <c r="F28" i="12"/>
  <c r="F24" i="12"/>
  <c r="G2" i="1"/>
  <c r="G3" i="1"/>
  <c r="G4" i="1"/>
  <c r="G6" i="1"/>
  <c r="G5" i="1"/>
  <c r="G10" i="1"/>
  <c r="G11" i="1"/>
  <c r="G7" i="1"/>
  <c r="G16" i="1"/>
  <c r="G8" i="1"/>
  <c r="G17" i="1"/>
  <c r="G9" i="1"/>
  <c r="G12" i="1"/>
  <c r="G13" i="1"/>
  <c r="G21" i="1"/>
  <c r="G22" i="1"/>
  <c r="G15" i="1"/>
  <c r="G23" i="1"/>
  <c r="G14" i="1"/>
  <c r="G18" i="1"/>
  <c r="G19" i="1"/>
  <c r="G24" i="1"/>
  <c r="G20" i="1"/>
  <c r="G26" i="1"/>
  <c r="G27" i="1"/>
  <c r="G28" i="1"/>
  <c r="G25" i="1"/>
  <c r="D15" i="16"/>
  <c r="D14" i="16"/>
  <c r="D4" i="16"/>
  <c r="D13" i="16"/>
  <c r="D9" i="16"/>
  <c r="D16" i="16"/>
  <c r="D10" i="16"/>
  <c r="D11" i="16"/>
  <c r="D6" i="16"/>
  <c r="D3" i="16"/>
  <c r="D8" i="16"/>
  <c r="D12" i="16"/>
  <c r="D5" i="16"/>
  <c r="D2" i="16"/>
  <c r="D7" i="16"/>
  <c r="D13" i="17"/>
  <c r="D12" i="17"/>
  <c r="D11" i="17"/>
  <c r="D10" i="17"/>
  <c r="D9" i="17"/>
  <c r="D8" i="17"/>
  <c r="D7" i="17"/>
  <c r="D6" i="17"/>
  <c r="D5" i="17"/>
  <c r="D4" i="17"/>
  <c r="D3" i="17"/>
  <c r="D2" i="17"/>
  <c r="K27" i="12"/>
  <c r="J27" i="12"/>
  <c r="I27" i="12"/>
  <c r="H27" i="12"/>
  <c r="E27" i="12"/>
  <c r="F8" i="1"/>
  <c r="F2" i="1"/>
  <c r="F4" i="1"/>
  <c r="F3" i="1"/>
  <c r="F5" i="1"/>
  <c r="F6" i="1"/>
  <c r="F9" i="1"/>
  <c r="F10" i="1"/>
  <c r="F12" i="1"/>
  <c r="F11" i="1"/>
  <c r="F22" i="1"/>
  <c r="F15" i="1"/>
  <c r="F7" i="1"/>
  <c r="F23" i="1"/>
  <c r="F14" i="1"/>
  <c r="F18" i="1"/>
  <c r="F19" i="1"/>
  <c r="F17" i="1"/>
  <c r="F16" i="1"/>
  <c r="F24" i="1"/>
  <c r="F20" i="1"/>
  <c r="F13" i="1"/>
  <c r="F26" i="1"/>
  <c r="F27" i="1"/>
  <c r="F21" i="1"/>
  <c r="F28" i="1"/>
  <c r="F25" i="1"/>
  <c r="D7" i="15"/>
  <c r="D10" i="15"/>
  <c r="D9" i="15"/>
  <c r="D13" i="15"/>
  <c r="D4" i="15"/>
  <c r="D12" i="15"/>
  <c r="D11" i="15"/>
  <c r="D5" i="15"/>
  <c r="D3" i="15"/>
  <c r="D8" i="15"/>
  <c r="D6" i="15"/>
  <c r="D2" i="15"/>
  <c r="E17" i="12"/>
  <c r="E3" i="12"/>
  <c r="E2" i="12"/>
  <c r="E4" i="12"/>
  <c r="E12" i="12"/>
  <c r="E20" i="12"/>
  <c r="E8" i="12"/>
  <c r="E7" i="12"/>
  <c r="E13" i="12"/>
  <c r="E25" i="12"/>
  <c r="E5" i="12"/>
  <c r="E10" i="12"/>
  <c r="E11" i="12"/>
  <c r="E6" i="12"/>
  <c r="E21" i="12"/>
  <c r="E22" i="12"/>
  <c r="E9" i="12"/>
  <c r="E14" i="12"/>
  <c r="E26" i="12"/>
  <c r="E28" i="12"/>
  <c r="E23" i="12"/>
  <c r="E15" i="12"/>
  <c r="E16" i="12"/>
  <c r="E24" i="12"/>
  <c r="E19" i="12"/>
  <c r="E18" i="12"/>
  <c r="E20" i="1"/>
  <c r="E25" i="1"/>
  <c r="E17" i="1"/>
  <c r="E16" i="1"/>
  <c r="E28" i="1"/>
  <c r="D28" i="1"/>
  <c r="H28" i="1"/>
  <c r="I28" i="1"/>
  <c r="J28" i="1"/>
  <c r="K28" i="1"/>
  <c r="E2" i="1"/>
  <c r="E14" i="1"/>
  <c r="E18" i="1"/>
  <c r="E5" i="1"/>
  <c r="E3" i="1"/>
  <c r="E10" i="1"/>
  <c r="E24" i="1"/>
  <c r="E4" i="1"/>
  <c r="E6" i="1"/>
  <c r="E9" i="1"/>
  <c r="E22" i="1"/>
  <c r="E12" i="1"/>
  <c r="E11" i="1"/>
  <c r="E13" i="1"/>
  <c r="E26" i="1"/>
  <c r="E7" i="1"/>
  <c r="E27" i="1"/>
  <c r="E21" i="1"/>
  <c r="E15" i="1"/>
  <c r="E23" i="1"/>
  <c r="E19" i="1"/>
  <c r="E8" i="1"/>
  <c r="F9" i="14"/>
  <c r="F13" i="14"/>
  <c r="F18" i="14"/>
  <c r="F22" i="14"/>
  <c r="F24" i="14"/>
  <c r="F6" i="14"/>
  <c r="D2" i="14"/>
  <c r="D18" i="14"/>
  <c r="D9" i="14"/>
  <c r="D11" i="14"/>
  <c r="D24" i="14"/>
  <c r="D3" i="14"/>
  <c r="D17" i="14"/>
  <c r="D23" i="14"/>
  <c r="D8" i="14"/>
  <c r="D12" i="14"/>
  <c r="D14" i="14"/>
  <c r="D19" i="14"/>
  <c r="D13" i="14"/>
  <c r="D4" i="14"/>
  <c r="D15" i="14"/>
  <c r="D22" i="14"/>
  <c r="D7" i="14"/>
  <c r="D6" i="14"/>
  <c r="D16" i="14"/>
  <c r="D20" i="14"/>
  <c r="D21" i="14"/>
  <c r="D5" i="14"/>
  <c r="D10" i="14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12" i="12"/>
  <c r="D2" i="12"/>
  <c r="D17" i="12"/>
  <c r="D20" i="12"/>
  <c r="D4" i="12"/>
  <c r="D5" i="12"/>
  <c r="D13" i="12"/>
  <c r="D25" i="12"/>
  <c r="D3" i="12"/>
  <c r="D11" i="12"/>
  <c r="D8" i="12"/>
  <c r="D22" i="12"/>
  <c r="D14" i="12"/>
  <c r="D7" i="12"/>
  <c r="D10" i="12"/>
  <c r="D26" i="12"/>
  <c r="D6" i="12"/>
  <c r="D28" i="12"/>
  <c r="D21" i="12"/>
  <c r="D9" i="12"/>
  <c r="D23" i="12"/>
  <c r="D15" i="12"/>
  <c r="K18" i="12"/>
  <c r="J18" i="12"/>
  <c r="I18" i="12"/>
  <c r="H18" i="12"/>
  <c r="K19" i="12"/>
  <c r="J19" i="12"/>
  <c r="I19" i="12"/>
  <c r="H19" i="12"/>
  <c r="K24" i="12"/>
  <c r="J24" i="12"/>
  <c r="I24" i="12"/>
  <c r="H24" i="12"/>
  <c r="K16" i="12"/>
  <c r="J16" i="12"/>
  <c r="I16" i="12"/>
  <c r="H16" i="12"/>
  <c r="K15" i="12"/>
  <c r="J15" i="12"/>
  <c r="I15" i="12"/>
  <c r="H15" i="12"/>
  <c r="K23" i="12"/>
  <c r="J23" i="12"/>
  <c r="I23" i="12"/>
  <c r="H23" i="12"/>
  <c r="K9" i="12"/>
  <c r="J9" i="12"/>
  <c r="I9" i="12"/>
  <c r="H9" i="12"/>
  <c r="K21" i="12"/>
  <c r="J21" i="12"/>
  <c r="I21" i="12"/>
  <c r="H21" i="12"/>
  <c r="K28" i="12"/>
  <c r="J28" i="12"/>
  <c r="I28" i="12"/>
  <c r="H28" i="12"/>
  <c r="K6" i="12"/>
  <c r="J6" i="12"/>
  <c r="I6" i="12"/>
  <c r="H6" i="12"/>
  <c r="K26" i="12"/>
  <c r="J26" i="12"/>
  <c r="I26" i="12"/>
  <c r="H26" i="12"/>
  <c r="K10" i="12"/>
  <c r="J10" i="12"/>
  <c r="I10" i="12"/>
  <c r="H10" i="12"/>
  <c r="K7" i="12"/>
  <c r="J7" i="12"/>
  <c r="I7" i="12"/>
  <c r="H7" i="12"/>
  <c r="K14" i="12"/>
  <c r="J14" i="12"/>
  <c r="I14" i="12"/>
  <c r="H14" i="12"/>
  <c r="K22" i="12"/>
  <c r="J22" i="12"/>
  <c r="I22" i="12"/>
  <c r="H22" i="12"/>
  <c r="K8" i="12"/>
  <c r="J8" i="12"/>
  <c r="I8" i="12"/>
  <c r="H8" i="12"/>
  <c r="K11" i="12"/>
  <c r="J11" i="12"/>
  <c r="I11" i="12"/>
  <c r="H11" i="12"/>
  <c r="K3" i="12"/>
  <c r="J3" i="12"/>
  <c r="I3" i="12"/>
  <c r="H3" i="12"/>
  <c r="K25" i="12"/>
  <c r="J25" i="12"/>
  <c r="I25" i="12"/>
  <c r="H25" i="12"/>
  <c r="K13" i="12"/>
  <c r="J13" i="12"/>
  <c r="I13" i="12"/>
  <c r="H13" i="12"/>
  <c r="K5" i="12"/>
  <c r="J5" i="12"/>
  <c r="I5" i="12"/>
  <c r="H5" i="12"/>
  <c r="K4" i="12"/>
  <c r="J4" i="12"/>
  <c r="I4" i="12"/>
  <c r="H4" i="12"/>
  <c r="K20" i="12"/>
  <c r="J20" i="12"/>
  <c r="I20" i="12"/>
  <c r="H20" i="12"/>
  <c r="K17" i="12"/>
  <c r="J17" i="12"/>
  <c r="I17" i="12"/>
  <c r="H17" i="12"/>
  <c r="K2" i="12"/>
  <c r="J2" i="12"/>
  <c r="I2" i="12"/>
  <c r="H2" i="12"/>
  <c r="K12" i="12"/>
  <c r="J12" i="12"/>
  <c r="I12" i="12"/>
  <c r="H12" i="12"/>
  <c r="H26" i="1"/>
  <c r="H15" i="1"/>
  <c r="H23" i="1"/>
  <c r="H19" i="1"/>
  <c r="H21" i="1"/>
  <c r="D19" i="1"/>
  <c r="I19" i="1"/>
  <c r="J19" i="1"/>
  <c r="K19" i="1"/>
  <c r="D15" i="1"/>
  <c r="I15" i="1"/>
  <c r="J15" i="1"/>
  <c r="K15" i="1"/>
  <c r="D21" i="1"/>
  <c r="I21" i="1"/>
  <c r="J21" i="1"/>
  <c r="K21" i="1"/>
  <c r="D26" i="1"/>
  <c r="I26" i="1"/>
  <c r="J26" i="1"/>
  <c r="K26" i="1"/>
  <c r="D11" i="1"/>
  <c r="H11" i="1"/>
  <c r="I11" i="1"/>
  <c r="J11" i="1"/>
  <c r="K11" i="1"/>
  <c r="D23" i="1"/>
  <c r="I23" i="1"/>
  <c r="J23" i="1"/>
  <c r="K23" i="1"/>
  <c r="D12" i="1"/>
  <c r="D2" i="1"/>
  <c r="D20" i="1"/>
  <c r="D4" i="1"/>
  <c r="D7" i="1"/>
  <c r="D25" i="1"/>
  <c r="D14" i="1"/>
  <c r="D10" i="1"/>
  <c r="D5" i="1"/>
  <c r="D17" i="1"/>
  <c r="D6" i="1"/>
  <c r="D13" i="1"/>
  <c r="D24" i="1"/>
  <c r="D16" i="1"/>
  <c r="D3" i="1"/>
  <c r="D27" i="1"/>
  <c r="D9" i="1"/>
  <c r="D18" i="1"/>
  <c r="D8" i="1"/>
  <c r="D22" i="1"/>
  <c r="J12" i="1"/>
  <c r="G2" i="6" l="1" a="1"/>
  <c r="G2" i="6" s="1"/>
  <c r="G5" i="6" a="1"/>
  <c r="G5" i="6" s="1"/>
  <c r="G7" i="6" a="1"/>
  <c r="G7" i="6" s="1"/>
  <c r="G6" i="6" a="1"/>
  <c r="G6" i="6" s="1"/>
  <c r="G4" i="6" a="1"/>
  <c r="G4" i="6" s="1"/>
  <c r="G3" i="6" a="1"/>
  <c r="G3" i="6" s="1"/>
  <c r="M16" i="12"/>
  <c r="M8" i="12"/>
  <c r="C4" i="6" a="1"/>
  <c r="C4" i="6" s="1"/>
  <c r="E4" i="6" a="1"/>
  <c r="E4" i="6" s="1"/>
  <c r="F4" i="6" a="1"/>
  <c r="F4" i="6" s="1"/>
  <c r="F2" i="6" a="1"/>
  <c r="F2" i="6" s="1"/>
  <c r="D4" i="6" a="1"/>
  <c r="D4" i="6" s="1"/>
  <c r="F6" i="6" a="1"/>
  <c r="F6" i="6" s="1"/>
  <c r="F5" i="6" a="1"/>
  <c r="F5" i="6" s="1"/>
  <c r="F3" i="6" a="1"/>
  <c r="F3" i="6" s="1"/>
  <c r="M15" i="12"/>
  <c r="M20" i="12"/>
  <c r="M23" i="12"/>
  <c r="M21" i="12"/>
  <c r="M25" i="12"/>
  <c r="M6" i="12"/>
  <c r="M2" i="12"/>
  <c r="M4" i="12"/>
  <c r="M18" i="12"/>
  <c r="M3" i="12"/>
  <c r="M12" i="12"/>
  <c r="M19" i="12"/>
  <c r="M9" i="12"/>
  <c r="M17" i="12"/>
  <c r="M27" i="12"/>
  <c r="M11" i="12"/>
  <c r="M28" i="12"/>
  <c r="M24" i="12"/>
  <c r="M22" i="12"/>
  <c r="M7" i="12"/>
  <c r="M13" i="12"/>
  <c r="M10" i="12"/>
  <c r="M26" i="12"/>
  <c r="M5" i="12"/>
  <c r="M14" i="12"/>
  <c r="E5" i="6" a="1"/>
  <c r="E5" i="6" s="1"/>
  <c r="C5" i="6" a="1"/>
  <c r="C5" i="6" s="1"/>
  <c r="E3" i="6" a="1"/>
  <c r="E3" i="6" s="1"/>
  <c r="C3" i="6" a="1"/>
  <c r="C3" i="6" s="1"/>
  <c r="E2" i="6" a="1"/>
  <c r="E2" i="6" s="1"/>
  <c r="C2" i="6" a="1"/>
  <c r="C2" i="6" s="1"/>
  <c r="D5" i="6" a="1"/>
  <c r="D5" i="6" s="1"/>
  <c r="D2" i="6" a="1"/>
  <c r="D2" i="6" s="1"/>
  <c r="D3" i="6" a="1"/>
  <c r="D3" i="6" s="1"/>
  <c r="C27" i="12"/>
  <c r="C18" i="12"/>
  <c r="C19" i="12"/>
  <c r="C24" i="12"/>
  <c r="C16" i="12"/>
  <c r="C28" i="1"/>
  <c r="C21" i="12"/>
  <c r="C11" i="12"/>
  <c r="C4" i="12"/>
  <c r="C13" i="12"/>
  <c r="C15" i="12"/>
  <c r="C28" i="12"/>
  <c r="C5" i="12"/>
  <c r="C22" i="12"/>
  <c r="C12" i="12"/>
  <c r="C26" i="12"/>
  <c r="C25" i="12"/>
  <c r="C3" i="12"/>
  <c r="C9" i="12"/>
  <c r="C23" i="12"/>
  <c r="C10" i="12"/>
  <c r="C20" i="12"/>
  <c r="C17" i="12"/>
  <c r="C14" i="12"/>
  <c r="C6" i="12"/>
  <c r="C2" i="12"/>
  <c r="C8" i="12"/>
  <c r="C7" i="12"/>
  <c r="K2" i="1"/>
  <c r="K20" i="1"/>
  <c r="K4" i="1"/>
  <c r="K5" i="1"/>
  <c r="K25" i="1"/>
  <c r="K14" i="1"/>
  <c r="K10" i="1"/>
  <c r="K12" i="1"/>
  <c r="K6" i="1"/>
  <c r="K3" i="1"/>
  <c r="K7" i="1"/>
  <c r="K27" i="1"/>
  <c r="K18" i="1"/>
  <c r="K16" i="1"/>
  <c r="K17" i="1"/>
  <c r="K24" i="1"/>
  <c r="K13" i="1"/>
  <c r="K22" i="1"/>
  <c r="K9" i="1"/>
  <c r="K8" i="1"/>
  <c r="I4" i="1" l="1"/>
  <c r="I5" i="1"/>
  <c r="I12" i="1"/>
  <c r="I2" i="1"/>
  <c r="I20" i="1"/>
  <c r="I6" i="1"/>
  <c r="I25" i="1"/>
  <c r="I3" i="1"/>
  <c r="I16" i="1"/>
  <c r="I17" i="1"/>
  <c r="I10" i="1"/>
  <c r="I7" i="1"/>
  <c r="I27" i="1"/>
  <c r="I13" i="1"/>
  <c r="I22" i="1"/>
  <c r="I18" i="1"/>
  <c r="I24" i="1"/>
  <c r="I9" i="1"/>
  <c r="I8" i="1"/>
  <c r="J4" i="1"/>
  <c r="J5" i="1"/>
  <c r="J2" i="1"/>
  <c r="J14" i="1"/>
  <c r="J20" i="1"/>
  <c r="J6" i="1"/>
  <c r="J25" i="1"/>
  <c r="J3" i="1"/>
  <c r="J16" i="1"/>
  <c r="J17" i="1"/>
  <c r="J10" i="1"/>
  <c r="J7" i="1"/>
  <c r="J27" i="1"/>
  <c r="J13" i="1"/>
  <c r="J22" i="1"/>
  <c r="J18" i="1"/>
  <c r="J24" i="1"/>
  <c r="J9" i="1"/>
  <c r="J8" i="1"/>
  <c r="H12" i="1" l="1"/>
  <c r="H16" i="1"/>
  <c r="H4" i="1"/>
  <c r="H14" i="1"/>
  <c r="H5" i="1"/>
  <c r="H17" i="1"/>
  <c r="H6" i="1"/>
  <c r="H2" i="1"/>
  <c r="H7" i="1"/>
  <c r="H3" i="1"/>
  <c r="H20" i="1"/>
  <c r="H25" i="1"/>
  <c r="H27" i="1"/>
  <c r="H18" i="1"/>
  <c r="H22" i="1"/>
  <c r="H10" i="1"/>
  <c r="H24" i="1"/>
  <c r="H13" i="1"/>
  <c r="H9" i="1"/>
  <c r="H8" i="1"/>
  <c r="C10" i="1" l="1"/>
  <c r="C24" i="1"/>
  <c r="C3" i="1"/>
  <c r="C22" i="1"/>
  <c r="C8" i="1"/>
  <c r="C27" i="1"/>
  <c r="C2" i="1"/>
  <c r="C17" i="1"/>
  <c r="C19" i="1" l="1"/>
  <c r="C9" i="1"/>
  <c r="C25" i="1"/>
  <c r="C14" i="1"/>
  <c r="C16" i="1"/>
  <c r="C26" i="1"/>
  <c r="C18" i="1"/>
  <c r="C6" i="1"/>
  <c r="C23" i="1"/>
  <c r="C7" i="1"/>
  <c r="C11" i="1"/>
  <c r="C5" i="1"/>
  <c r="C15" i="1"/>
  <c r="C13" i="1"/>
  <c r="C4" i="1"/>
  <c r="C20" i="1"/>
  <c r="C21" i="1"/>
  <c r="C12" i="1"/>
  <c r="B2" i="6"/>
  <c r="B4" i="6"/>
  <c r="B6" i="6"/>
  <c r="B3" i="6"/>
  <c r="B5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<sst xmlns="http://schemas.openxmlformats.org/spreadsheetml/2006/main" count="379" uniqueCount="107">
  <si>
    <t>Player Name</t>
  </si>
  <si>
    <t>Position</t>
  </si>
  <si>
    <t>Total Score</t>
  </si>
  <si>
    <t>Bjorn Singh</t>
  </si>
  <si>
    <t>Jodi Van Niekerk</t>
  </si>
  <si>
    <t>Winston Willemse</t>
  </si>
  <si>
    <t>Shawn Davies</t>
  </si>
  <si>
    <t>Lucien Barnes</t>
  </si>
  <si>
    <t>Ranzel Louw</t>
  </si>
  <si>
    <t>Eugene Dudley</t>
  </si>
  <si>
    <t>Ronny Kaptein</t>
  </si>
  <si>
    <t>Arno Adonis</t>
  </si>
  <si>
    <t>Godfrey Daniels</t>
  </si>
  <si>
    <t>Warren Lottering</t>
  </si>
  <si>
    <t>John Barker</t>
  </si>
  <si>
    <t>Brian Plaatjies</t>
  </si>
  <si>
    <t>Mika Moerat</t>
  </si>
  <si>
    <t>Trevor Meyer</t>
  </si>
  <si>
    <t>Dale Adonis</t>
  </si>
  <si>
    <t>Chad Naude</t>
  </si>
  <si>
    <t>Fuad Adams</t>
  </si>
  <si>
    <t>Akasia</t>
  </si>
  <si>
    <t>Shaheen Boughan</t>
  </si>
  <si>
    <t>Strokes</t>
  </si>
  <si>
    <t>Team</t>
  </si>
  <si>
    <t>Fairway Fighters</t>
  </si>
  <si>
    <t>Home Boys</t>
  </si>
  <si>
    <t>Tee Titans</t>
  </si>
  <si>
    <t>Birdie Buddies</t>
  </si>
  <si>
    <t>Tee Stingers</t>
  </si>
  <si>
    <t>Tigers</t>
  </si>
  <si>
    <t>Total</t>
  </si>
  <si>
    <t>Pos</t>
  </si>
  <si>
    <t>Name</t>
  </si>
  <si>
    <t>IPS</t>
  </si>
  <si>
    <t>Mika</t>
  </si>
  <si>
    <t>Jodi</t>
  </si>
  <si>
    <t>Eugene</t>
  </si>
  <si>
    <t>Arno</t>
  </si>
  <si>
    <t>Chad</t>
  </si>
  <si>
    <t>Bjorn</t>
  </si>
  <si>
    <t>Warren</t>
  </si>
  <si>
    <t>Shawn</t>
  </si>
  <si>
    <t>Brian</t>
  </si>
  <si>
    <t>Lucien</t>
  </si>
  <si>
    <t>Ronny</t>
  </si>
  <si>
    <t>Winston</t>
  </si>
  <si>
    <t>Ashley</t>
  </si>
  <si>
    <t>Fuad</t>
  </si>
  <si>
    <t>Ranzel</t>
  </si>
  <si>
    <t>Shaheen</t>
  </si>
  <si>
    <t>Godfrey</t>
  </si>
  <si>
    <t>Dale</t>
  </si>
  <si>
    <t>Uncle John</t>
  </si>
  <si>
    <t>Uncle Trevor</t>
  </si>
  <si>
    <t>Names</t>
  </si>
  <si>
    <t>Ashley Spocter</t>
  </si>
  <si>
    <t>Lenny Booysen</t>
  </si>
  <si>
    <t>Byron Labuschagne</t>
  </si>
  <si>
    <t>Pieter Gagiano</t>
  </si>
  <si>
    <t>Dewald Van Rooyen</t>
  </si>
  <si>
    <t>Laurent Changuion</t>
  </si>
  <si>
    <t>Arn Smith</t>
  </si>
  <si>
    <t>Column4</t>
  </si>
  <si>
    <t>Column5</t>
  </si>
  <si>
    <t>Column6</t>
  </si>
  <si>
    <t>Column7</t>
  </si>
  <si>
    <t>LIV Team</t>
  </si>
  <si>
    <t>LIV</t>
  </si>
  <si>
    <t>PGC</t>
  </si>
  <si>
    <t>Kirsten</t>
  </si>
  <si>
    <t>Kirsten Jacobs</t>
  </si>
  <si>
    <t>Games Played</t>
  </si>
  <si>
    <t>Byron</t>
  </si>
  <si>
    <t>Laurent</t>
  </si>
  <si>
    <t>Lenny</t>
  </si>
  <si>
    <t>Pieter</t>
  </si>
  <si>
    <t>Dewald</t>
  </si>
  <si>
    <t>SUM(TAKE(SORT(FILTER(Akasia!$A$2:$C$23,Akasia!$D$2:$D$23=A2), 1, TRUE), 3))</t>
  </si>
  <si>
    <t>SUM(TAKE(SORT(FILTER(PGC!$C$2:$C$25, PGC!$D$2:$D$25=A2), 1, TRUE), 3))</t>
  </si>
  <si>
    <t>Total  Strokes - Over/Under</t>
  </si>
  <si>
    <t>Kyalami</t>
  </si>
  <si>
    <t>SUM(TAKE(SORT(FILTER(Kyalami!$A$2:$C$23,Kyalami!$D$2:$D$23=A2), 1, TRUE), 3))</t>
  </si>
  <si>
    <t>Tee Tigers</t>
  </si>
  <si>
    <t>Arn</t>
  </si>
  <si>
    <t>Copperleaf</t>
  </si>
  <si>
    <t>Trevor</t>
  </si>
  <si>
    <t>John</t>
  </si>
  <si>
    <t>Winna</t>
  </si>
  <si>
    <t>⁠Laurent</t>
  </si>
  <si>
    <t>CopperLeaf</t>
  </si>
  <si>
    <t>ByNaam</t>
  </si>
  <si>
    <t>Ash</t>
  </si>
  <si>
    <t>Byrone</t>
  </si>
  <si>
    <t>Services</t>
  </si>
  <si>
    <t>`</t>
  </si>
  <si>
    <t>Pool Bet</t>
  </si>
  <si>
    <t>X</t>
  </si>
  <si>
    <t>Pool Payouts</t>
  </si>
  <si>
    <t>LD2</t>
  </si>
  <si>
    <t>NP1</t>
  </si>
  <si>
    <t>NP2</t>
  </si>
  <si>
    <t>LD1</t>
  </si>
  <si>
    <t>BN</t>
  </si>
  <si>
    <t>BG</t>
  </si>
  <si>
    <t>Fines</t>
  </si>
  <si>
    <t>Handicap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</si>
</sst>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&quot;#,##0;[Red]\-&quot;R&quot;#,##0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rgb="FF000000"/>
      <name val="Arial"/>
      <family val="2"/>
    </font>
    <font>
      <b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3F3F3"/>
        <bgColor rgb="FF000000"/>
      </patternFill>
    </fill>
    <fill>
      <patternFill patternType="solid">
        <fgColor rgb="FFBDBDBD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2" fillId="2" borderId="0" xfId="0" applyFont="1" applyFill="1" applyAlignment="1">
      <alignment horizontal="right" wrapText="1"/>
    </xf>
    <xf numFmtId="0" fontId="3" fillId="3" borderId="0" xfId="0" applyFont="1" applyFill="1" applyAlignment="1">
      <alignment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4" borderId="3" xfId="0" applyFill="1" applyBorder="1"/>
    <xf numFmtId="6" fontId="0" fillId="0" borderId="0" xfId="0" applyNumberFormat="1"/>
  </cellXfs>
  <cellStyles count="1">
    <cellStyle name="Normal" xfId="0" builtinId="0"/>
  </cellStyles>
  <dxfs count="50">
    <dxf>
      <font>
        <strike/>
      </font>
      <border>
        <left/>
        <right/>
        <top/>
        <bottom/>
        <vertical/>
        <horizontal/>
      </border>
    </dxf>
    <dxf>
      <font>
        <strike/>
      </font>
      <border>
        <left/>
        <right/>
        <top/>
        <bottom/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0" formatCode="General"/>
      <fill>
        <patternFill patternType="solid">
          <fgColor rgb="FF000000"/>
          <bgColor rgb="FFF3F3F3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rgb="FFF3F3F3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rgb="FFF3F3F3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rgb="FFF3F3F3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rgb="FFF3F3F3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rgb="FFF3F3F3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rgb="FFF3F3F3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rgb="FFF3F3F3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rgb="FFF3F3F3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rgb="FFF3F3F3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rgb="FFB7E1CD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F3F3F3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solid">
          <fgColor rgb="FF000000"/>
          <bgColor rgb="FFF3F3F3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BDBDBD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rgb="FFF3F3F3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rgb="FFF3F3F3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rgb="FFF3F3F3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rgb="FFF3F3F3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rgb="FFF3F3F3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rgb="FFF3F3F3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rgb="FFF3F3F3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rgb="FFF3F3F3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rgb="FFF3F3F3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rgb="FFF3F3F3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rgb="FFF3F3F3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rgb="FFB7E1CD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F3F3F3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F3F3F3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BDBDBD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B50D20BED1B6162C/Goam%20Scores%20Jackal%20Creek.xlsx" TargetMode="External"/><Relationship Id="rId1" Type="http://schemas.openxmlformats.org/officeDocument/2006/relationships/externalLinkPath" Target="https://d.docs.live.net/B50D20BED1B6162C/Goam%20Scores%20Jackal%20Creek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B50D20BED1B6162C/Goam%20Scores%20Woodhill.xlsx" TargetMode="External"/><Relationship Id="rId1" Type="http://schemas.openxmlformats.org/officeDocument/2006/relationships/externalLinkPath" Target="https://d.docs.live.net/B50D20BED1B6162C/Goam%20Scores%20Woodhill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b50d20bed1b6162c/Goam%20Scores%20PTA%20-%20West%202.xlsx" TargetMode="External"/><Relationship Id="rId1" Type="http://schemas.openxmlformats.org/officeDocument/2006/relationships/externalLinkPath" Target="https://d.docs.live.net/b50d20bed1b6162c/Goam%20Scores%20PTA%20-%20West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Goam Scores Jackal Creek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Goam Scores Woodhill"/>
    </sheetNames>
    <sheetDataSet>
      <sheetData sheetId="0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Goam Scores PTA - West 2"/>
    </sheetNames>
    <sheetDataSet>
      <sheetData sheetId="0"/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75D28F-8408-4316-ADAC-3A2312F2A444}" name="Table2" displayName="Table2" ref="A1:N28" totalsRowShown="0" headerRowDxfId="49" dataDxfId="48" tableBorderDxfId="47">
  <sortState xmlns:xlrd2="http://schemas.microsoft.com/office/spreadsheetml/2017/richdata2" ref="A2:N28">
    <sortCondition descending="1" ref="C2:C28"/>
  </sortState>
  <tableColumns count="14">
    <tableColumn id="1" xr3:uid="{6BA0B2DB-8F3A-4AA8-AF16-3CB4B0E1E320}" name="Player Name" dataDxfId="46"/>
    <tableColumn id="2" xr3:uid="{23DDF667-3311-48CA-BA81-4C7223DDB331}" name="Position" dataDxfId="45"/>
    <tableColumn id="3" xr3:uid="{7844E1EB-D4AE-4D96-A8AB-0344F6E67C3B}" name="Total Score" dataDxfId="44">
      <calculatedColumnFormula>SUM(D2:K2)</calculatedColumnFormula>
    </tableColumn>
    <tableColumn id="4" xr3:uid="{D63AD796-2EBE-4B79-B7A6-8C89AFAF14E4}" name="Akasia" dataDxfId="43">
      <calculatedColumnFormula>IFERROR(VLOOKUP(Table2[[#This Row],[Player Name]],Akasia!$A$2:$C$23,3,FALSE),0)</calculatedColumnFormula>
    </tableColumn>
    <tableColumn id="5" xr3:uid="{DFF61022-BB6C-4EC2-B68D-8E0ACFD2AEEC}" name="PGC" dataDxfId="42">
      <calculatedColumnFormula>IFERROR(VLOOKUP(A2,Table58[[Name]:[IPS]],3,FALSE),0)</calculatedColumnFormula>
    </tableColumn>
    <tableColumn id="6" xr3:uid="{58701E4D-0B52-4854-A9BD-BF269625DF99}" name="Kyalami" dataDxfId="41">
      <calculatedColumnFormula>IFERROR(VLOOKUP(A2,Table585[],3,FALSE),0)</calculatedColumnFormula>
    </tableColumn>
    <tableColumn id="7" xr3:uid="{35706F4B-FB88-4AFF-9ED2-FE5CCA4181B4}" name="Copperleaf" dataDxfId="40">
      <calculatedColumnFormula>IFERROR(VLOOKUP(Table2[[#This Row],[Player Name]],Table58549[[#All],[Name]:[IPS]],3,FALSE),0)</calculatedColumnFormula>
    </tableColumn>
    <tableColumn id="8" xr3:uid="{D20DD1C0-D926-42D9-8195-148EAFF368FE}" name="Services" dataDxfId="39">
      <calculatedColumnFormula>IFERROR(VLOOKUP(A2,#REF!,3,FALSE),0)</calculatedColumnFormula>
    </tableColumn>
    <tableColumn id="9" xr3:uid="{7523EC0B-6F26-4830-AC3A-5B4A6C8D57D6}" name="Column5" dataDxfId="38">
      <calculatedColumnFormula>IFERROR(VLOOKUP(Table2[[#This Row],[Names]],[1]!Scores_Strokes[#Data],5,FALSE),0)</calculatedColumnFormula>
    </tableColumn>
    <tableColumn id="10" xr3:uid="{D5B03AE9-30CB-4D0E-9BAB-8D6EAF9624C9}" name="Column6" dataDxfId="37">
      <calculatedColumnFormula>IFERROR(VLOOKUP(Table2[[#This Row],[Names]],[2]!Scores_Strokes[#Data],5,FALSE),0)</calculatedColumnFormula>
    </tableColumn>
    <tableColumn id="11" xr3:uid="{0578C4ED-4F1D-42D6-9ECD-D8F840F9F332}" name="Column7" dataDxfId="36">
      <calculatedColumnFormula>IFERROR(VLOOKUP(Table2[[#This Row],[Names]],[3]!Scores_Strokes[#Data],5,FALSE),0)</calculatedColumnFormula>
    </tableColumn>
    <tableColumn id="12" xr3:uid="{7E3E8F49-C3F5-4183-991A-A2A6E86E9AC6}" name="Names" dataDxfId="35"/>
    <tableColumn id="15" xr3:uid="{AFD32F32-4D45-4E59-B580-15C6B3EB6BCE}" name="LIV Team" dataDxfId="34"/>
    <tableColumn id="14" xr3:uid="{CA2E7692-6AC3-4CE8-B889-365E95525ACB}" name="ByNaam" dataDxfId="3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CC9C5D3-44C5-47B5-A24A-50249F289998}" name="Table27" displayName="Table27" ref="A1:M28" totalsRowShown="0" headerRowDxfId="32" dataDxfId="31" tableBorderDxfId="30">
  <sortState xmlns:xlrd2="http://schemas.microsoft.com/office/spreadsheetml/2017/richdata2" ref="A2:M28">
    <sortCondition descending="1" ref="M2:M28"/>
    <sortCondition ref="C2:C28"/>
  </sortState>
  <tableColumns count="13">
    <tableColumn id="1" xr3:uid="{82981AF2-B487-416B-A63E-4AEFB332BF8C}" name="Player Name" dataDxfId="29"/>
    <tableColumn id="2" xr3:uid="{42FE7379-BD04-4683-BE8B-5FC66BF92EAB}" name="Position" dataDxfId="28"/>
    <tableColumn id="3" xr3:uid="{E330921A-3A9F-4C42-947E-EA8EEE3A5DDE}" name="Total  Strokes - Over/Under" dataDxfId="27">
      <calculatedColumnFormula>SUM(D2:K2)</calculatedColumnFormula>
    </tableColumn>
    <tableColumn id="4" xr3:uid="{1AEFEE4C-7837-4241-B4EA-68469B6353A0}" name="Akasia" dataDxfId="26">
      <calculatedColumnFormula>IFERROR(VLOOKUP(Table27[[#This Row],[Player Name]],Akasia!$A$2:$C$23,2,FALSE),0)-72</calculatedColumnFormula>
    </tableColumn>
    <tableColumn id="5" xr3:uid="{B035AFF9-2952-4F94-BE25-258332B7C3D0}" name="PGC" dataDxfId="25">
      <calculatedColumnFormula>_xlfn.LET(_xlpm.r,IFERROR(VLOOKUP(A2,Table58[[Name]:[IPS]],2,FALSE),0),IF(_xlpm.r = 0, 0, _xlpm.r-72))</calculatedColumnFormula>
    </tableColumn>
    <tableColumn id="6" xr3:uid="{BE1DABEA-4E57-4C48-B6FE-F1ED013AC080}" name="Kyalami" dataDxfId="24">
      <calculatedColumnFormula>_xlfn.LET(_xlpm.r,IFERROR(VLOOKUP(A2,Table585[#All],2,FALSE),0),IF(_xlpm.r = 0, 0, _xlpm.r-72))</calculatedColumnFormula>
    </tableColumn>
    <tableColumn id="7" xr3:uid="{F7B0DA21-4D03-4FA4-91CA-5C28A150EA11}" name="Copperleaf" dataDxfId="23">
      <calculatedColumnFormula>_xlfn.LET(_xlpm.r,IFERROR(VLOOKUP(A2,Table58549[],2,FALSE),0),IF(_xlpm.r = 0, 0, _xlpm.r-72))</calculatedColumnFormula>
    </tableColumn>
    <tableColumn id="8" xr3:uid="{1B4B3213-9E83-4EA1-B2E5-6EE1F996D6DF}" name="Column4" dataDxfId="22">
      <calculatedColumnFormula>IFERROR(VLOOKUP(A2,#REF!,3,FALSE),0)</calculatedColumnFormula>
    </tableColumn>
    <tableColumn id="9" xr3:uid="{3584E7CC-2597-4815-A3BB-37C302F0A365}" name="Column5" dataDxfId="21">
      <calculatedColumnFormula>IFERROR(VLOOKUP(Table27[[#This Row],[Names]],[1]!Scores_Strokes[#Data],5,FALSE),0)</calculatedColumnFormula>
    </tableColumn>
    <tableColumn id="10" xr3:uid="{53BD2BCE-6881-4A93-8AF4-51B799C40986}" name="Column6" dataDxfId="20">
      <calculatedColumnFormula>IFERROR(VLOOKUP(Table27[[#This Row],[Names]],[2]!Scores_Strokes[#Data],5,FALSE),0)</calculatedColumnFormula>
    </tableColumn>
    <tableColumn id="11" xr3:uid="{100199B5-3AA7-4735-984C-A11EE6B7217E}" name="Column7" dataDxfId="19">
      <calculatedColumnFormula>IFERROR(VLOOKUP(Table27[[#This Row],[Names]],[3]!Scores_Strokes[#Data],5,FALSE),0)</calculatedColumnFormula>
    </tableColumn>
    <tableColumn id="12" xr3:uid="{3DF7A894-E50C-4D2A-828E-1BEC976F9529}" name="Names" dataDxfId="18"/>
    <tableColumn id="25" xr3:uid="{664D3CF4-0CEE-48B8-9B40-73053FEA42E4}" name="Games Played" dataDxfId="17">
      <calculatedColumnFormula>(Table27[[#This Row],[Akasia]]&gt;0)+(Table27[[#This Row],[PGC]]&gt;0)+(Table27[[#This Row],[Kyalami]]&gt;0)+(Table27[[#This Row],[Copperleaf]]&gt;0)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F49108-893F-4A68-987D-E4B04DC8832E}" name="Table1" displayName="Table1" ref="A1:J7" totalsRowShown="0">
  <sortState xmlns:xlrd2="http://schemas.microsoft.com/office/spreadsheetml/2017/richdata2" ref="A2:J7">
    <sortCondition descending="1" ref="B2:B7"/>
  </sortState>
  <tableColumns count="10">
    <tableColumn id="1" xr3:uid="{046C27F6-F0F1-4CF1-B028-F90ADB231163}" name="Team"/>
    <tableColumn id="2" xr3:uid="{DC5015AC-9469-4070-8237-170650BE36BD}" name="Total" dataDxfId="16">
      <calculatedColumnFormula>SUM(C2:J2)</calculatedColumnFormula>
    </tableColumn>
    <tableColumn id="3" xr3:uid="{04FD7A57-75A5-42BC-9002-00672D62EF5B}" name="Akasia">
      <calculatedColumnFormula array="1">SUM(_xlfn.TAKE(_xlfn._xlws.SORT(_xlfn._xlws.FILTER(Akasia!$C$2:$C$23,Akasia!$D$2:$D$23=A2), 1, -1), 3))</calculatedColumnFormula>
    </tableColumn>
    <tableColumn id="4" xr3:uid="{DFE1125D-2494-4A81-9987-BA2A3013A575}" name="PGC" dataDxfId="15">
      <calculatedColumnFormula array="1">SUM(_xlfn.TAKE(_xlfn._xlws.SORT(_xlfn._xlws.FILTER(PGC!$C$2:$C$25, PGC!$D$2:$D$25=A2), 1, -1), 3))</calculatedColumnFormula>
    </tableColumn>
    <tableColumn id="5" xr3:uid="{6BD91C66-6275-4D01-93E1-C68695FB9788}" name="Kyalami" dataDxfId="14">
      <calculatedColumnFormula array="1">SUM(_xlfn.TAKE(_xlfn._xlws.SORT(_xlfn._xlws.FILTER(Kyalami!$C$2:$C$13,Kyalami!$D$2:$D$13=A2), 1,-1), 3))</calculatedColumnFormula>
    </tableColumn>
    <tableColumn id="6" xr3:uid="{1A029B1B-D6CA-4BCE-A8A2-5E6B1EC371BD}" name="CopperLeaf" dataDxfId="13">
      <calculatedColumnFormula array="1">SUM(_xlfn.TAKE(_xlfn._xlws.SORT(_xlfn._xlws.FILTER(CopperLeaf!$C$2:$C$16,CopperLeaf!$D$2:$D$16=A2), 1,-1), 3))</calculatedColumnFormula>
    </tableColumn>
    <tableColumn id="7" xr3:uid="{BD421FC4-3B17-424A-8AA4-AB29A89DC5F4}" name="Services" dataDxfId="12">
      <calculatedColumnFormula array="1">SUM(_xlfn.TAKE(_xlfn._xlws.SORT(_xlfn._xlws.FILTER(Services!$A$2:$C$23,Services!$D$2:$D$23=A2), 1, TRUE), 3))</calculatedColumnFormula>
    </tableColumn>
    <tableColumn id="10" xr3:uid="{7B31DB69-F440-4C4B-A74E-B6038A6BBDEA}" name="Column5"/>
    <tableColumn id="9" xr3:uid="{0F0F0CC4-E7E2-44E0-893C-E4E5C56B11DA}" name="Column6" dataDxfId="11"/>
    <tableColumn id="8" xr3:uid="{76644E64-20CB-4D6B-8BF9-952CB96B1415}" name="Column7" dataDxfId="10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AE117DC-4CA5-44E6-930A-77CE705E7756}" name="Table5" displayName="Table5" ref="A1:D24" totalsRowShown="0">
  <sortState xmlns:xlrd2="http://schemas.microsoft.com/office/spreadsheetml/2017/richdata2" ref="A2:C24">
    <sortCondition descending="1" ref="C2:C24"/>
  </sortState>
  <tableColumns count="4">
    <tableColumn id="1" xr3:uid="{5220C005-CB96-4D0A-AB02-F41B06109FB3}" name="Name"/>
    <tableColumn id="2" xr3:uid="{118EE5E6-8513-4E4C-A87E-C88A4540BD7E}" name="Strokes"/>
    <tableColumn id="3" xr3:uid="{8A763DB8-1F45-4847-BA84-739A48C5C1D3}" name="IPS"/>
    <tableColumn id="4" xr3:uid="{8A255203-E4E5-4D5F-811E-6A9407BCF5FD}" name="LIV" dataDxfId="9">
      <calculatedColumnFormula>VLOOKUP(Table5[[#This Row],[Name]],Table2[],13,FALSE)</calculatedColumnFormula>
    </tableColumn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747BC29-F24A-47F0-AF15-1F83BB540041}" name="Table58" displayName="Table58" ref="A1:D24" totalsRowShown="0">
  <sortState xmlns:xlrd2="http://schemas.microsoft.com/office/spreadsheetml/2017/richdata2" ref="A2:D24">
    <sortCondition descending="1" ref="C2:C24"/>
  </sortState>
  <tableColumns count="4">
    <tableColumn id="1" xr3:uid="{2AD05C50-1F22-471B-862D-BD5110A0F281}" name="Name"/>
    <tableColumn id="2" xr3:uid="{1B4A3278-65B5-45E6-BA2A-C541B619FC74}" name="Strokes"/>
    <tableColumn id="3" xr3:uid="{55913086-241A-4B2D-8C20-4AB547F68090}" name="IPS"/>
    <tableColumn id="4" xr3:uid="{B73BCEE6-4A68-4C23-9234-A5EA568F1481}" name="LIV" dataDxfId="8">
      <calculatedColumnFormula>VLOOKUP(Table58[[#This Row],[Name]],Table2[],13,FALSE)</calculatedColumnFormula>
    </tableColumn>
  </tableColumns>
  <tableStyleInfo name="TableStyleMedium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F354AAA-7208-4C39-A286-4BA63311DC47}" name="Table585" displayName="Table585" ref="A1:D13" totalsRowShown="0">
  <sortState xmlns:xlrd2="http://schemas.microsoft.com/office/spreadsheetml/2017/richdata2" ref="A2:D13">
    <sortCondition descending="1" ref="C2:C13"/>
  </sortState>
  <tableColumns count="4">
    <tableColumn id="1" xr3:uid="{0E361561-F9CD-46FA-9837-1DFF8C3A95FC}" name="Name"/>
    <tableColumn id="2" xr3:uid="{3C5AE3F1-EDFB-4B4F-A37E-B84DAED8C148}" name="Strokes"/>
    <tableColumn id="3" xr3:uid="{9172B575-F0AB-4E3B-B828-2311764805D1}" name="IPS"/>
    <tableColumn id="4" xr3:uid="{E519DAE0-9BD8-4076-8041-5BDEAD5EAF52}" name="LIV" dataDxfId="7">
      <calculatedColumnFormula>VLOOKUP(Table585[[#This Row],[Name]],Table2[],13,FALSE)</calculatedColumnFormula>
    </tableColumn>
  </tableColumns>
  <tableStyleInfo name="TableStyleMedium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1802C0E-C562-4F09-9DAA-A7F2FCD01E34}" name="Table58549" displayName="Table58549" ref="A1:N16" totalsRowShown="0">
  <sortState xmlns:xlrd2="http://schemas.microsoft.com/office/spreadsheetml/2017/richdata2" ref="A2:D16">
    <sortCondition descending="1" ref="C2:C16"/>
  </sortState>
  <tableColumns count="14">
    <tableColumn id="1" xr3:uid="{0E7443AC-4875-47D0-BF9E-3B1937FF24B0}" name="Name"/>
    <tableColumn id="2" xr3:uid="{46AAA493-6F8C-4D97-BEB4-656C034E904D}" name="Strokes"/>
    <tableColumn id="3" xr3:uid="{CF07B23F-B89C-46A7-8282-E44D480A62AE}" name="IPS"/>
    <tableColumn id="4" xr3:uid="{1384B581-4CF0-4D6A-A6F1-B0D4855F5E34}" name="LIV" dataDxfId="6">
      <calculatedColumnFormula>VLOOKUP(Table58549[[#This Row],[Name]],Table2[],13,FALSE)</calculatedColumnFormula>
    </tableColumn>
    <tableColumn id="5" xr3:uid="{FFAABEBC-1E63-4407-89FB-C2C17264A576}" name="Handicap"/>
    <tableColumn id="6" xr3:uid="{7922B672-EBEF-4F0C-9D2A-400B37536F92}" name="NP1"/>
    <tableColumn id="7" xr3:uid="{337A3694-EB4D-47BF-976D-795495E7439F}" name="NP2"/>
    <tableColumn id="8" xr3:uid="{2AE6E5A3-BA72-4761-8F3A-504F0E836C91}" name="LD1"/>
    <tableColumn id="9" xr3:uid="{03B7FB15-253D-4CB5-A269-361081735BE0}" name="LD2"/>
    <tableColumn id="10" xr3:uid="{03BD6FFA-2A3E-409C-917F-B32AB4AA531C}" name="BG"/>
    <tableColumn id="11" xr3:uid="{D99ED28C-CA3B-40FB-B612-AF1F7657E879}" name="BN" dataDxfId="5">
      <calculatedColumnFormula>Table58549[[#This Row],[Strokes]]-Table58549[[#This Row],[Handicap]]</calculatedColumnFormula>
    </tableColumn>
    <tableColumn id="12" xr3:uid="{45401378-D5D3-48FA-B1A3-DA0448E1A065}" name="Pool Bet"/>
    <tableColumn id="13" xr3:uid="{9191C317-C204-4464-A920-F2B371175747}" name="Pool Payouts"/>
    <tableColumn id="14" xr3:uid="{D3CB8E91-100B-4104-B8BB-90610101C465}" name="Fines"/>
  </tableColumns>
  <tableStyleInfo name="TableStyleMedium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2A74F7F-7B32-4D95-9796-97CFD23EBFB1}" name="Table5854910" displayName="Table5854910" ref="A1:N21" totalsRowShown="0">
  <sortState xmlns:xlrd2="http://schemas.microsoft.com/office/spreadsheetml/2017/richdata2" ref="A2:D16">
    <sortCondition descending="1" ref="C2:C16"/>
  </sortState>
  <tableColumns count="14">
    <tableColumn id="1" xr3:uid="{2C6EC83E-2A45-426A-BFCA-A55610D55C64}" name="Name"/>
    <tableColumn id="2" xr3:uid="{06F5A8F0-9D53-40EA-AAB6-4CBC59A48731}" name="Strokes"/>
    <tableColumn id="3" xr3:uid="{6E556984-3A7B-4D87-A839-3776A1389030}" name="IPS"/>
    <tableColumn id="4" xr3:uid="{C4965CBC-3834-4D93-8947-817CEC9BF102}" name="LIV" dataDxfId="4">
      <calculatedColumnFormula>VLOOKUP(Table5854910[[#This Row],[Name]],Table2[],13,FALSE)</calculatedColumnFormula>
    </tableColumn>
    <tableColumn id="14" xr3:uid="{117DF213-8AB3-4E6C-BAD7-0D168420AC7B}" name="Handicap" dataDxfId="3"/>
    <tableColumn id="9" xr3:uid="{5E3CD669-8FFF-4255-90E3-D87144903595}" name="NP1"/>
    <tableColumn id="10" xr3:uid="{58CD1394-3FD3-45E1-A13F-05731E3DE76D}" name="NP2"/>
    <tableColumn id="7" xr3:uid="{DE105CE5-FC5B-4221-90F2-4059406D1AE5}" name="LD1"/>
    <tableColumn id="8" xr3:uid="{BEEA5FD4-9068-47F1-AEC6-1AEC9F2D6FFB}" name="LD2"/>
    <tableColumn id="12" xr3:uid="{7224A1B8-8368-45D7-9153-2B32DFCADE3D}" name="BG"/>
    <tableColumn id="11" xr3:uid="{AD7EC6C0-0092-4B43-9657-8FD9A0F6143D}" name="BN"/>
    <tableColumn id="5" xr3:uid="{38280630-052D-4F35-9F54-C2000C305471}" name="Pool Bet"/>
    <tableColumn id="6" xr3:uid="{6F91857D-20CC-4EC6-B36D-94CCB22112E1}" name="Pool Payouts"/>
    <tableColumn id="13" xr3:uid="{716725EC-36B4-46A0-AEF2-15F5538DC529}" name="Fines"/>
  </tableColumns>
  <tableStyleInfo name="TableStyleMedium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10355B-2CFF-40AA-9040-1A5BD9038009}" name="Table5854" displayName="Table5854" ref="A1:D13" totalsRowShown="0">
  <sortState xmlns:xlrd2="http://schemas.microsoft.com/office/spreadsheetml/2017/richdata2" ref="A2:D13">
    <sortCondition descending="1" ref="C2:C13"/>
  </sortState>
  <tableColumns count="4">
    <tableColumn id="1" xr3:uid="{03F17097-A0EB-4521-8E53-D5916C42B3AF}" name="Name"/>
    <tableColumn id="2" xr3:uid="{3D5ADD87-1E9F-4586-9F32-0339E2D62D4F}" name="Strokes"/>
    <tableColumn id="3" xr3:uid="{BAEAD534-E064-4E42-902A-9F0A16A8F235}" name="IPS"/>
    <tableColumn id="4" xr3:uid="{DDD2B49D-D80A-4833-A733-A150A6043177}" name="LIV" dataDxfId="2">
      <calculatedColumnFormula>VLOOKUP(Table5854[[#This Row],[Name]],Table2[],13,FALSE)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125DF-3812-4A24-B5A0-B0413F0C3ECB}">
  <dimension ref="A1:N28"/>
  <sheetViews>
    <sheetView tabSelected="1" topLeftCell="A3" workbookViewId="0">
      <selection activeCell="M3" sqref="M3:N28"/>
    </sheetView>
  </sheetViews>
  <sheetFormatPr defaultRowHeight="14.4" x14ac:dyDescent="0.3"/>
  <cols>
    <col min="1" max="1" width="16.77734375" bestFit="1" customWidth="1"/>
    <col min="2" max="2" width="7.77734375" bestFit="1" customWidth="1"/>
    <col min="3" max="3" width="10.21875" bestFit="1" customWidth="1"/>
    <col min="4" max="4" width="6.5546875" bestFit="1" customWidth="1"/>
    <col min="5" max="5" width="4.6640625" bestFit="1" customWidth="1"/>
    <col min="6" max="6" width="7.77734375" bestFit="1" customWidth="1"/>
    <col min="7" max="7" width="10.21875" bestFit="1" customWidth="1"/>
    <col min="8" max="11" width="8.44140625" bestFit="1" customWidth="1"/>
    <col min="12" max="12" width="11" bestFit="1" customWidth="1"/>
    <col min="13" max="13" width="14.109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21</v>
      </c>
      <c r="E1" t="s">
        <v>69</v>
      </c>
      <c r="F1" t="s">
        <v>81</v>
      </c>
      <c r="G1" t="s">
        <v>85</v>
      </c>
      <c r="H1" s="1" t="s">
        <v>94</v>
      </c>
      <c r="I1" t="s">
        <v>64</v>
      </c>
      <c r="J1" t="s">
        <v>65</v>
      </c>
      <c r="K1" t="s">
        <v>66</v>
      </c>
      <c r="L1" t="s">
        <v>55</v>
      </c>
      <c r="M1" t="s">
        <v>67</v>
      </c>
      <c r="N1" s="4" t="s">
        <v>91</v>
      </c>
    </row>
    <row r="2" spans="1:14" x14ac:dyDescent="0.3">
      <c r="A2" t="s">
        <v>11</v>
      </c>
      <c r="B2">
        <v>1</v>
      </c>
      <c r="C2">
        <f t="shared" ref="C2:C28" si="0">SUM(D2:K2)</f>
        <v>139</v>
      </c>
      <c r="D2">
        <f>IFERROR(VLOOKUP(Table2[[#This Row],[Player Name]],Akasia!$A$2:$C$23,3,FALSE),0)</f>
        <v>36</v>
      </c>
      <c r="E2">
        <f>IFERROR(VLOOKUP(A2,Table58[[Name]:[IPS]],3,FALSE),0)</f>
        <v>32</v>
      </c>
      <c r="F2">
        <f>IFERROR(VLOOKUP(A2,Table585[],3,FALSE),0)</f>
        <v>37</v>
      </c>
      <c r="G2">
        <f>IFERROR(VLOOKUP(Table2[[#This Row],[Player Name]],Table58549[[#All],[Name]:[IPS]],3,FALSE),0)</f>
        <v>34</v>
      </c>
      <c r="H2" s="2">
        <f>IFERROR(VLOOKUP(A2,#REF!,3,FALSE),0)</f>
        <v>0</v>
      </c>
      <c r="I2">
        <f>IFERROR(VLOOKUP(Table2[[#This Row],[Names]],[1]!Scores_Strokes[#Data],5,FALSE),0)</f>
        <v>0</v>
      </c>
      <c r="J2">
        <f>IFERROR(VLOOKUP(Table2[[#This Row],[Names]],[2]!Scores_Strokes[#Data],5,FALSE),0)</f>
        <v>0</v>
      </c>
      <c r="K2">
        <f>IFERROR(VLOOKUP(Table2[[#This Row],[Names]],[3]!Scores_Strokes[#Data],5,FALSE),0)</f>
        <v>0</v>
      </c>
      <c r="L2" t="s">
        <v>38</v>
      </c>
      <c r="M2" t="s">
        <v>26</v>
      </c>
      <c r="N2" t="s">
        <v>38</v>
      </c>
    </row>
    <row r="3" spans="1:14" x14ac:dyDescent="0.3">
      <c r="A3" t="s">
        <v>7</v>
      </c>
      <c r="B3">
        <v>2</v>
      </c>
      <c r="C3">
        <f t="shared" si="0"/>
        <v>132</v>
      </c>
      <c r="D3">
        <f>IFERROR(VLOOKUP(Table2[[#This Row],[Player Name]],Akasia!$A$2:$C$23,3,FALSE),0)</f>
        <v>35</v>
      </c>
      <c r="E3">
        <f>IFERROR(VLOOKUP(A3,Table58[[Name]:[IPS]],3,FALSE),0)</f>
        <v>32</v>
      </c>
      <c r="F3">
        <f>IFERROR(VLOOKUP(A3,Table585[],3,FALSE),0)</f>
        <v>35</v>
      </c>
      <c r="G3">
        <f>IFERROR(VLOOKUP(Table2[[#This Row],[Player Name]],Table58549[[#All],[Name]:[IPS]],3,FALSE),0)</f>
        <v>30</v>
      </c>
      <c r="H3">
        <f>IFERROR(VLOOKUP(A3,#REF!,3,FALSE),0)</f>
        <v>0</v>
      </c>
      <c r="I3">
        <f>IFERROR(VLOOKUP(Table2[[#This Row],[Names]],[1]!Scores_Strokes[#Data],5,FALSE),0)</f>
        <v>0</v>
      </c>
      <c r="J3">
        <f>IFERROR(VLOOKUP(Table2[[#This Row],[Names]],[2]!Scores_Strokes[#Data],5,FALSE),0)</f>
        <v>0</v>
      </c>
      <c r="K3">
        <f>IFERROR(VLOOKUP(Table2[[#This Row],[Names]],[3]!Scores_Strokes[#Data],5,FALSE),0)</f>
        <v>0</v>
      </c>
      <c r="L3" t="s">
        <v>44</v>
      </c>
      <c r="M3" t="s">
        <v>25</v>
      </c>
      <c r="N3" t="s">
        <v>44</v>
      </c>
    </row>
    <row r="4" spans="1:14" x14ac:dyDescent="0.3">
      <c r="A4" t="s">
        <v>16</v>
      </c>
      <c r="B4">
        <v>3</v>
      </c>
      <c r="C4">
        <f t="shared" si="0"/>
        <v>125</v>
      </c>
      <c r="D4">
        <f>IFERROR(VLOOKUP(Table2[[#This Row],[Player Name]],Akasia!$A$2:$C$23,3,FALSE),0)</f>
        <v>33</v>
      </c>
      <c r="E4">
        <f>IFERROR(VLOOKUP(A4,Table58[[Name]:[IPS]],3,FALSE),0)</f>
        <v>35</v>
      </c>
      <c r="F4">
        <f>IFERROR(VLOOKUP(A4,Table585[],3,FALSE),0)</f>
        <v>29</v>
      </c>
      <c r="G4">
        <f>IFERROR(VLOOKUP(Table2[[#This Row],[Player Name]],Table58549[[#All],[Name]:[IPS]],3,FALSE),0)</f>
        <v>28</v>
      </c>
      <c r="H4">
        <f>IFERROR(VLOOKUP(A4,#REF!,3,FALSE),0)</f>
        <v>0</v>
      </c>
      <c r="I4">
        <f>IFERROR(VLOOKUP(Table2[[#This Row],[Names]],[1]!Scores_Strokes[#Data],5,FALSE),0)</f>
        <v>0</v>
      </c>
      <c r="J4">
        <f>IFERROR(VLOOKUP(Table2[[#This Row],[Names]],[2]!Scores_Strokes[#Data],5,FALSE),0)</f>
        <v>0</v>
      </c>
      <c r="K4">
        <f>IFERROR(VLOOKUP(Table2[[#This Row],[Names]],[3]!Scores_Strokes[#Data],5,FALSE),0)</f>
        <v>0</v>
      </c>
      <c r="L4" t="s">
        <v>35</v>
      </c>
      <c r="M4" t="s">
        <v>25</v>
      </c>
      <c r="N4" t="s">
        <v>35</v>
      </c>
    </row>
    <row r="5" spans="1:14" x14ac:dyDescent="0.3">
      <c r="A5" t="s">
        <v>4</v>
      </c>
      <c r="B5">
        <v>4</v>
      </c>
      <c r="C5">
        <f t="shared" si="0"/>
        <v>117</v>
      </c>
      <c r="D5">
        <f>IFERROR(VLOOKUP(Table2[[#This Row],[Player Name]],Akasia!$A$2:$C$23,3,FALSE),0)</f>
        <v>35</v>
      </c>
      <c r="E5">
        <f>IFERROR(VLOOKUP(A5,Table58[[Name]:[IPS]],3,FALSE),0)</f>
        <v>31</v>
      </c>
      <c r="F5">
        <f>IFERROR(VLOOKUP(A5,Table585[],3,FALSE),0)</f>
        <v>27</v>
      </c>
      <c r="G5">
        <f>IFERROR(VLOOKUP(Table2[[#This Row],[Player Name]],Table58549[[#All],[Name]:[IPS]],3,FALSE),0)</f>
        <v>24</v>
      </c>
      <c r="H5">
        <f>IFERROR(VLOOKUP(A5,#REF!,3,FALSE),0)</f>
        <v>0</v>
      </c>
      <c r="I5">
        <f>IFERROR(VLOOKUP(Table2[[#This Row],[Names]],[1]!Scores_Strokes[#Data],5,FALSE),0)</f>
        <v>0</v>
      </c>
      <c r="J5">
        <f>IFERROR(VLOOKUP(Table2[[#This Row],[Names]],[2]!Scores_Strokes[#Data],5,FALSE),0)</f>
        <v>0</v>
      </c>
      <c r="K5">
        <f>IFERROR(VLOOKUP(Table2[[#This Row],[Names]],[3]!Scores_Strokes[#Data],5,FALSE),0)</f>
        <v>0</v>
      </c>
      <c r="L5" t="s">
        <v>36</v>
      </c>
      <c r="M5" t="s">
        <v>29</v>
      </c>
      <c r="N5" t="s">
        <v>36</v>
      </c>
    </row>
    <row r="6" spans="1:14" x14ac:dyDescent="0.3">
      <c r="A6" t="s">
        <v>13</v>
      </c>
      <c r="B6">
        <v>5</v>
      </c>
      <c r="C6">
        <f t="shared" si="0"/>
        <v>95</v>
      </c>
      <c r="D6">
        <f>IFERROR(VLOOKUP(Table2[[#This Row],[Player Name]],Akasia!$A$2:$C$23,3,FALSE),0)</f>
        <v>33</v>
      </c>
      <c r="E6">
        <f>IFERROR(VLOOKUP(A6,Table58[[Name]:[IPS]],3,FALSE),0)</f>
        <v>26</v>
      </c>
      <c r="F6">
        <f>IFERROR(VLOOKUP(A6,Table585[],3,FALSE),0)</f>
        <v>36</v>
      </c>
      <c r="G6">
        <f>IFERROR(VLOOKUP(Table2[[#This Row],[Player Name]],Table58549[[#All],[Name]:[IPS]],3,FALSE),0)</f>
        <v>0</v>
      </c>
      <c r="H6">
        <f>IFERROR(VLOOKUP(A6,#REF!,3,FALSE),0)</f>
        <v>0</v>
      </c>
      <c r="I6">
        <f>IFERROR(VLOOKUP(Table2[[#This Row],[Names]],[1]!Scores_Strokes[#Data],5,FALSE),0)</f>
        <v>0</v>
      </c>
      <c r="J6">
        <f>IFERROR(VLOOKUP(Table2[[#This Row],[Names]],[2]!Scores_Strokes[#Data],5,FALSE),0)</f>
        <v>0</v>
      </c>
      <c r="K6">
        <f>IFERROR(VLOOKUP(Table2[[#This Row],[Names]],[3]!Scores_Strokes[#Data],5,FALSE),0)</f>
        <v>0</v>
      </c>
      <c r="L6" t="s">
        <v>41</v>
      </c>
      <c r="M6" t="s">
        <v>29</v>
      </c>
      <c r="N6" t="s">
        <v>41</v>
      </c>
    </row>
    <row r="7" spans="1:14" x14ac:dyDescent="0.3">
      <c r="A7" t="s">
        <v>8</v>
      </c>
      <c r="B7">
        <v>6</v>
      </c>
      <c r="C7">
        <f t="shared" si="0"/>
        <v>92</v>
      </c>
      <c r="D7">
        <f>IFERROR(VLOOKUP(Table2[[#This Row],[Player Name]],Akasia!$A$2:$C$23,3,FALSE),0)</f>
        <v>25</v>
      </c>
      <c r="E7">
        <f>IFERROR(VLOOKUP(A7,Table58[[Name]:[IPS]],3,FALSE),0)</f>
        <v>22</v>
      </c>
      <c r="F7">
        <f>IFERROR(VLOOKUP(A7,Table585[],3,FALSE),0)</f>
        <v>29</v>
      </c>
      <c r="G7">
        <f>IFERROR(VLOOKUP(Table2[[#This Row],[Player Name]],Table58549[[#All],[Name]:[IPS]],3,FALSE),0)</f>
        <v>16</v>
      </c>
      <c r="H7">
        <f>IFERROR(VLOOKUP(A7,#REF!,3,FALSE),0)</f>
        <v>0</v>
      </c>
      <c r="I7">
        <f>IFERROR(VLOOKUP(Table2[[#This Row],[Names]],[1]!Scores_Strokes[#Data],5,FALSE),0)</f>
        <v>0</v>
      </c>
      <c r="J7">
        <f>IFERROR(VLOOKUP(Table2[[#This Row],[Names]],[2]!Scores_Strokes[#Data],5,FALSE),0)</f>
        <v>0</v>
      </c>
      <c r="K7">
        <f>IFERROR(VLOOKUP(Table2[[#This Row],[Names]],[3]!Scores_Strokes[#Data],5,FALSE),0)</f>
        <v>0</v>
      </c>
      <c r="L7" t="s">
        <v>49</v>
      </c>
      <c r="M7" t="s">
        <v>83</v>
      </c>
      <c r="N7" t="s">
        <v>49</v>
      </c>
    </row>
    <row r="8" spans="1:14" x14ac:dyDescent="0.3">
      <c r="A8" t="s">
        <v>17</v>
      </c>
      <c r="B8">
        <v>7</v>
      </c>
      <c r="C8">
        <f t="shared" si="0"/>
        <v>88</v>
      </c>
      <c r="D8">
        <f>IFERROR(VLOOKUP(Table2[[#This Row],[Player Name]],Akasia!$A$2:$C$23,3,FALSE),0)</f>
        <v>40</v>
      </c>
      <c r="E8">
        <f>IFERROR(VLOOKUP(A8,Table58[[Name]:[IPS]],3,FALSE),0)</f>
        <v>30</v>
      </c>
      <c r="F8">
        <f>IFERROR(VLOOKUP(A8,Table585[],3,FALSE),0)</f>
        <v>0</v>
      </c>
      <c r="G8">
        <f>IFERROR(VLOOKUP(Table2[[#This Row],[Player Name]],Table58549[[#All],[Name]:[IPS]],3,FALSE),0)</f>
        <v>18</v>
      </c>
      <c r="H8">
        <f>IFERROR(VLOOKUP(A8,#REF!,3,FALSE),0)</f>
        <v>0</v>
      </c>
      <c r="I8">
        <f>IFERROR(VLOOKUP(Table2[[#This Row],[Names]],[1]!Scores_Strokes[#Data],5,FALSE),0)</f>
        <v>0</v>
      </c>
      <c r="J8">
        <f>IFERROR(VLOOKUP(Table2[[#This Row],[Names]],[2]!Scores_Strokes[#Data],5,FALSE),0)</f>
        <v>0</v>
      </c>
      <c r="K8">
        <f>IFERROR(VLOOKUP(Table2[[#This Row],[Names]],[3]!Scores_Strokes[#Data],5,FALSE),0)</f>
        <v>0</v>
      </c>
      <c r="L8" t="s">
        <v>54</v>
      </c>
      <c r="M8" t="s">
        <v>25</v>
      </c>
      <c r="N8" t="s">
        <v>86</v>
      </c>
    </row>
    <row r="9" spans="1:14" x14ac:dyDescent="0.3">
      <c r="A9" t="s">
        <v>18</v>
      </c>
      <c r="B9">
        <v>8</v>
      </c>
      <c r="C9">
        <f t="shared" si="0"/>
        <v>85</v>
      </c>
      <c r="D9">
        <f>IFERROR(VLOOKUP(Table2[[#This Row],[Player Name]],Akasia!$A$2:$C$23,3,FALSE),0)</f>
        <v>32</v>
      </c>
      <c r="E9">
        <f>IFERROR(VLOOKUP(A9,Table58[[Name]:[IPS]],3,FALSE),0)</f>
        <v>27</v>
      </c>
      <c r="F9">
        <f>IFERROR(VLOOKUP(A9,Table585[],3,FALSE),0)</f>
        <v>0</v>
      </c>
      <c r="G9">
        <f>IFERROR(VLOOKUP(Table2[[#This Row],[Player Name]],Table58549[[#All],[Name]:[IPS]],3,FALSE),0)</f>
        <v>26</v>
      </c>
      <c r="H9">
        <f>IFERROR(VLOOKUP(A9,#REF!,3,FALSE),0)</f>
        <v>0</v>
      </c>
      <c r="I9">
        <f>IFERROR(VLOOKUP(Table2[[#This Row],[Names]],[1]!Scores_Strokes[#Data],5,FALSE),0)</f>
        <v>0</v>
      </c>
      <c r="J9">
        <f>IFERROR(VLOOKUP(Table2[[#This Row],[Names]],[2]!Scores_Strokes[#Data],5,FALSE),0)</f>
        <v>0</v>
      </c>
      <c r="K9">
        <f>IFERROR(VLOOKUP(Table2[[#This Row],[Names]],[3]!Scores_Strokes[#Data],5,FALSE),0)</f>
        <v>0</v>
      </c>
      <c r="L9" t="s">
        <v>52</v>
      </c>
      <c r="M9" t="s">
        <v>26</v>
      </c>
      <c r="N9" t="s">
        <v>52</v>
      </c>
    </row>
    <row r="10" spans="1:14" x14ac:dyDescent="0.3">
      <c r="A10" t="s">
        <v>56</v>
      </c>
      <c r="B10">
        <v>9</v>
      </c>
      <c r="C10">
        <f t="shared" si="0"/>
        <v>82</v>
      </c>
      <c r="D10">
        <f>IFERROR(VLOOKUP(Table2[[#This Row],[Player Name]],Akasia!$A$2:$C$23,3,FALSE),0)</f>
        <v>35</v>
      </c>
      <c r="E10">
        <f>IFERROR(VLOOKUP(A10,Table58[[Name]:[IPS]],3,FALSE),0)</f>
        <v>23</v>
      </c>
      <c r="F10">
        <f>IFERROR(VLOOKUP(A10,Table585[],3,FALSE),0)</f>
        <v>24</v>
      </c>
      <c r="G10">
        <f>IFERROR(VLOOKUP(Table2[[#This Row],[Player Name]],Table58549[[#All],[Name]:[IPS]],3,FALSE),0)</f>
        <v>0</v>
      </c>
      <c r="H10">
        <f>IFERROR(VLOOKUP(A10,#REF!,3,FALSE),0)</f>
        <v>0</v>
      </c>
      <c r="I10">
        <f>IFERROR(VLOOKUP(Table2[[#This Row],[Names]],[1]!Scores_Strokes[#Data],5,FALSE),0)</f>
        <v>0</v>
      </c>
      <c r="J10">
        <f>IFERROR(VLOOKUP(Table2[[#This Row],[Names]],[2]!Scores_Strokes[#Data],5,FALSE),0)</f>
        <v>0</v>
      </c>
      <c r="K10">
        <f>IFERROR(VLOOKUP(Table2[[#This Row],[Names]],[3]!Scores_Strokes[#Data],5,FALSE),0)</f>
        <v>0</v>
      </c>
      <c r="L10" t="s">
        <v>47</v>
      </c>
      <c r="M10" t="s">
        <v>83</v>
      </c>
      <c r="N10" t="s">
        <v>92</v>
      </c>
    </row>
    <row r="11" spans="1:14" x14ac:dyDescent="0.3">
      <c r="A11" t="s">
        <v>58</v>
      </c>
      <c r="C11">
        <f t="shared" si="0"/>
        <v>82</v>
      </c>
      <c r="D11">
        <f>IFERROR(VLOOKUP(Table2[[#This Row],[Player Name]],Akasia!$A$2:$C$23,3,FALSE),0)</f>
        <v>29</v>
      </c>
      <c r="E11">
        <f>IFERROR(VLOOKUP(A11,Table58[[Name]:[IPS]],3,FALSE),0)</f>
        <v>28</v>
      </c>
      <c r="F11">
        <f>IFERROR(VLOOKUP(A11,Table585[],3,FALSE),0)</f>
        <v>25</v>
      </c>
      <c r="G11">
        <f>IFERROR(VLOOKUP(Table2[[#This Row],[Player Name]],Table58549[[#All],[Name]:[IPS]],3,FALSE),0)</f>
        <v>0</v>
      </c>
      <c r="H11">
        <f>IFERROR(VLOOKUP(A11,#REF!,3,FALSE),0)</f>
        <v>0</v>
      </c>
      <c r="I11">
        <f>IFERROR(VLOOKUP(Table2[[#This Row],[Names]],[1]!Scores_Strokes[#Data],5,FALSE),0)</f>
        <v>0</v>
      </c>
      <c r="J11">
        <f>IFERROR(VLOOKUP(Table2[[#This Row],[Names]],[2]!Scores_Strokes[#Data],5,FALSE),0)</f>
        <v>0</v>
      </c>
      <c r="K11">
        <f>IFERROR(VLOOKUP(Table2[[#This Row],[Names]],[3]!Scores_Strokes[#Data],5,FALSE),0)</f>
        <v>0</v>
      </c>
      <c r="L11" t="s">
        <v>73</v>
      </c>
      <c r="M11" t="s">
        <v>28</v>
      </c>
      <c r="N11" t="s">
        <v>93</v>
      </c>
    </row>
    <row r="12" spans="1:14" x14ac:dyDescent="0.3">
      <c r="A12" t="s">
        <v>9</v>
      </c>
      <c r="B12">
        <v>11</v>
      </c>
      <c r="C12">
        <f t="shared" si="0"/>
        <v>81</v>
      </c>
      <c r="D12">
        <f>IFERROR(VLOOKUP(Table2[[#This Row],[Player Name]],Akasia!$A$2:$C$23,3,FALSE),0)</f>
        <v>30</v>
      </c>
      <c r="E12">
        <f>IFERROR(VLOOKUP(A12,Table58[[Name]:[IPS]],3,FALSE),0)</f>
        <v>27</v>
      </c>
      <c r="F12">
        <f>IFERROR(VLOOKUP(A12,Table585[],3,FALSE),0)</f>
        <v>0</v>
      </c>
      <c r="G12">
        <f>IFERROR(VLOOKUP(Table2[[#This Row],[Player Name]],Table58549[[#All],[Name]:[IPS]],3,FALSE),0)</f>
        <v>24</v>
      </c>
      <c r="H12">
        <f>IFERROR(VLOOKUP(A12,#REF!,3,FALSE),0)</f>
        <v>0</v>
      </c>
      <c r="I12">
        <f>IFERROR(VLOOKUP(Table2[[#This Row],[Names]],[1]!Scores_Strokes[#Data],5,FALSE),0)</f>
        <v>0</v>
      </c>
      <c r="J12">
        <f>IFERROR(VLOOKUP(Table2[[#This Row],[Names]],[2]!Scores_Strokes[#Data],5,FALSE),0)</f>
        <v>0</v>
      </c>
      <c r="K12">
        <f>IFERROR(VLOOKUP(Table2[[#This Row],[Names]],[3]!Scores_Strokes[#Data],5,FALSE),0)</f>
        <v>0</v>
      </c>
      <c r="L12" t="s">
        <v>37</v>
      </c>
      <c r="M12" t="s">
        <v>26</v>
      </c>
      <c r="N12" t="s">
        <v>37</v>
      </c>
    </row>
    <row r="13" spans="1:14" x14ac:dyDescent="0.3">
      <c r="A13" t="s">
        <v>22</v>
      </c>
      <c r="B13">
        <v>12</v>
      </c>
      <c r="C13">
        <f t="shared" si="0"/>
        <v>80</v>
      </c>
      <c r="D13">
        <f>IFERROR(VLOOKUP(Table2[[#This Row],[Player Name]],Akasia!$A$2:$C$23,3,FALSE),0)</f>
        <v>28</v>
      </c>
      <c r="E13">
        <f>IFERROR(VLOOKUP(A13,Table58[[Name]:[IPS]],3,FALSE),0)</f>
        <v>0</v>
      </c>
      <c r="F13">
        <f>IFERROR(VLOOKUP(A13,Table585[],3,FALSE),0)</f>
        <v>28</v>
      </c>
      <c r="G13">
        <f>IFERROR(VLOOKUP(Table2[[#This Row],[Player Name]],Table58549[[#All],[Name]:[IPS]],3,FALSE),0)</f>
        <v>24</v>
      </c>
      <c r="H13">
        <f>IFERROR(VLOOKUP(A13,#REF!,3,FALSE),0)</f>
        <v>0</v>
      </c>
      <c r="I13">
        <f>IFERROR(VLOOKUP(Table2[[#This Row],[Names]],[1]!Scores_Strokes[#Data],5,FALSE),0)</f>
        <v>0</v>
      </c>
      <c r="J13">
        <f>IFERROR(VLOOKUP(Table2[[#This Row],[Names]],[2]!Scores_Strokes[#Data],5,FALSE),0)</f>
        <v>0</v>
      </c>
      <c r="K13">
        <f>IFERROR(VLOOKUP(Table2[[#This Row],[Names]],[3]!Scores_Strokes[#Data],5,FALSE),0)</f>
        <v>0</v>
      </c>
      <c r="L13" t="s">
        <v>50</v>
      </c>
      <c r="M13" t="s">
        <v>28</v>
      </c>
      <c r="N13" t="s">
        <v>50</v>
      </c>
    </row>
    <row r="14" spans="1:14" x14ac:dyDescent="0.3">
      <c r="A14" t="s">
        <v>14</v>
      </c>
      <c r="B14">
        <v>13</v>
      </c>
      <c r="C14">
        <f t="shared" si="0"/>
        <v>74</v>
      </c>
      <c r="D14">
        <f>IFERROR(VLOOKUP(Table2[[#This Row],[Player Name]],Akasia!$A$2:$C$23,3,FALSE),0)</f>
        <v>36</v>
      </c>
      <c r="E14">
        <f>IFERROR(VLOOKUP(A14,Table58[[Name]:[IPS]],3,FALSE),0)</f>
        <v>0</v>
      </c>
      <c r="F14">
        <f>IFERROR(VLOOKUP(A14,Table585[],3,FALSE),0)</f>
        <v>0</v>
      </c>
      <c r="G14">
        <f>IFERROR(VLOOKUP(Table2[[#This Row],[Player Name]],Table58549[[#All],[Name]:[IPS]],3,FALSE),0)</f>
        <v>38</v>
      </c>
      <c r="H14">
        <f>IFERROR(VLOOKUP(A14,#REF!,3,FALSE),0)</f>
        <v>0</v>
      </c>
      <c r="I14">
        <f>IFERROR(VLOOKUP(Table2[[#This Row],[Names]],[1]!Scores_Strokes[#Data],5,FALSE),0)</f>
        <v>0</v>
      </c>
      <c r="J14">
        <f>IFERROR(VLOOKUP(Table2[[#This Row],[Names]],[2]!Scores_Strokes[#Data],5,FALSE),0)</f>
        <v>0</v>
      </c>
      <c r="K14">
        <f>IFERROR(VLOOKUP(Table2[[#This Row],[Names]],[3]!Scores_Strokes[#Data],5,FALSE),0)</f>
        <v>0</v>
      </c>
      <c r="L14" t="s">
        <v>53</v>
      </c>
      <c r="M14" t="s">
        <v>83</v>
      </c>
      <c r="N14" t="s">
        <v>87</v>
      </c>
    </row>
    <row r="15" spans="1:14" x14ac:dyDescent="0.3">
      <c r="A15" t="s">
        <v>61</v>
      </c>
      <c r="B15">
        <v>14</v>
      </c>
      <c r="C15">
        <f t="shared" si="0"/>
        <v>73</v>
      </c>
      <c r="D15">
        <f>IFERROR(VLOOKUP(Table2[[#This Row],[Player Name]],Akasia!$A$2:$C$23,3,FALSE),0)</f>
        <v>19</v>
      </c>
      <c r="E15">
        <f>IFERROR(VLOOKUP(A15,Table58[[Name]:[IPS]],3,FALSE),0)</f>
        <v>29</v>
      </c>
      <c r="F15">
        <f>IFERROR(VLOOKUP(A15,Table585[],3,FALSE),0)</f>
        <v>0</v>
      </c>
      <c r="G15">
        <f>IFERROR(VLOOKUP(Table2[[#This Row],[Player Name]],Table58549[[#All],[Name]:[IPS]],3,FALSE),0)</f>
        <v>25</v>
      </c>
      <c r="H15">
        <f>IFERROR(VLOOKUP(A15,#REF!,3,FALSE),0)</f>
        <v>0</v>
      </c>
      <c r="I15">
        <f>IFERROR(VLOOKUP(Table2[[#This Row],[Names]],[1]!Scores_Strokes[#Data],5,FALSE),0)</f>
        <v>0</v>
      </c>
      <c r="J15">
        <f>IFERROR(VLOOKUP(Table2[[#This Row],[Names]],[2]!Scores_Strokes[#Data],5,FALSE),0)</f>
        <v>0</v>
      </c>
      <c r="K15">
        <f>IFERROR(VLOOKUP(Table2[[#This Row],[Names]],[3]!Scores_Strokes[#Data],5,FALSE),0)</f>
        <v>0</v>
      </c>
      <c r="L15" t="s">
        <v>74</v>
      </c>
      <c r="M15" t="s">
        <v>29</v>
      </c>
      <c r="N15" t="s">
        <v>89</v>
      </c>
    </row>
    <row r="16" spans="1:14" x14ac:dyDescent="0.3">
      <c r="A16" t="s">
        <v>19</v>
      </c>
      <c r="B16">
        <v>15</v>
      </c>
      <c r="C16">
        <f t="shared" si="0"/>
        <v>72</v>
      </c>
      <c r="D16">
        <f>IFERROR(VLOOKUP(Table2[[#This Row],[Player Name]],Akasia!$A$2:$C$23,3,FALSE),0)</f>
        <v>0</v>
      </c>
      <c r="E16">
        <f>IFERROR(VLOOKUP(A16,Table58[[Name]:[IPS]],3,FALSE),0)</f>
        <v>35</v>
      </c>
      <c r="F16">
        <f>IFERROR(VLOOKUP(A16,Table585[],3,FALSE),0)</f>
        <v>37</v>
      </c>
      <c r="G16">
        <f>IFERROR(VLOOKUP(Table2[[#This Row],[Player Name]],Table58549[[#All],[Name]:[IPS]],3,FALSE),0)</f>
        <v>0</v>
      </c>
      <c r="H16">
        <f>IFERROR(VLOOKUP(A16,#REF!,3,FALSE),0)</f>
        <v>0</v>
      </c>
      <c r="I16">
        <f>IFERROR(VLOOKUP(Table2[[#This Row],[Names]],[1]!Scores_Strokes[#Data],5,FALSE),0)</f>
        <v>0</v>
      </c>
      <c r="J16">
        <f>IFERROR(VLOOKUP(Table2[[#This Row],[Names]],[2]!Scores_Strokes[#Data],5,FALSE),0)</f>
        <v>0</v>
      </c>
      <c r="K16">
        <f>IFERROR(VLOOKUP(Table2[[#This Row],[Names]],[3]!Scores_Strokes[#Data],5,FALSE),0)</f>
        <v>0</v>
      </c>
      <c r="L16" t="s">
        <v>39</v>
      </c>
      <c r="M16" t="s">
        <v>25</v>
      </c>
      <c r="N16" t="s">
        <v>39</v>
      </c>
    </row>
    <row r="17" spans="1:14" x14ac:dyDescent="0.3">
      <c r="A17" t="s">
        <v>3</v>
      </c>
      <c r="B17">
        <v>16</v>
      </c>
      <c r="C17">
        <f t="shared" si="0"/>
        <v>69</v>
      </c>
      <c r="D17">
        <f>IFERROR(VLOOKUP(Table2[[#This Row],[Player Name]],Akasia!$A$2:$C$23,3,FALSE),0)</f>
        <v>0</v>
      </c>
      <c r="E17">
        <f>IFERROR(VLOOKUP(A17,Table58[[Name]:[IPS]],3,FALSE),0)</f>
        <v>35</v>
      </c>
      <c r="F17">
        <f>IFERROR(VLOOKUP(A17,Table585[],3,FALSE),0)</f>
        <v>34</v>
      </c>
      <c r="G17">
        <f>IFERROR(VLOOKUP(Table2[[#This Row],[Player Name]],Table58549[[#All],[Name]:[IPS]],3,FALSE),0)</f>
        <v>0</v>
      </c>
      <c r="H17">
        <f>IFERROR(VLOOKUP(A17,#REF!,3,FALSE),0)</f>
        <v>0</v>
      </c>
      <c r="I17">
        <f>IFERROR(VLOOKUP(Table2[[#This Row],[Names]],[1]!Scores_Strokes[#Data],5,FALSE),0)</f>
        <v>0</v>
      </c>
      <c r="J17">
        <f>IFERROR(VLOOKUP(Table2[[#This Row],[Names]],[2]!Scores_Strokes[#Data],5,FALSE),0)</f>
        <v>0</v>
      </c>
      <c r="K17">
        <f>IFERROR(VLOOKUP(Table2[[#This Row],[Names]],[3]!Scores_Strokes[#Data],5,FALSE),0)</f>
        <v>0</v>
      </c>
      <c r="L17" t="s">
        <v>40</v>
      </c>
      <c r="M17" t="s">
        <v>28</v>
      </c>
      <c r="N17" t="s">
        <v>40</v>
      </c>
    </row>
    <row r="18" spans="1:14" x14ac:dyDescent="0.3">
      <c r="A18" t="s">
        <v>5</v>
      </c>
      <c r="B18">
        <v>17</v>
      </c>
      <c r="C18">
        <f t="shared" si="0"/>
        <v>68</v>
      </c>
      <c r="D18">
        <f>IFERROR(VLOOKUP(Table2[[#This Row],[Player Name]],Akasia!$A$2:$C$23,3,FALSE),0)</f>
        <v>36</v>
      </c>
      <c r="E18">
        <f>IFERROR(VLOOKUP(A18,Table58[[Name]:[IPS]],3,FALSE),0)</f>
        <v>0</v>
      </c>
      <c r="F18">
        <f>IFERROR(VLOOKUP(A18,Table585[],3,FALSE),0)</f>
        <v>0</v>
      </c>
      <c r="G18">
        <f>IFERROR(VLOOKUP(Table2[[#This Row],[Player Name]],Table58549[[#All],[Name]:[IPS]],3,FALSE),0)</f>
        <v>32</v>
      </c>
      <c r="H18">
        <f>IFERROR(VLOOKUP(A18,#REF!,3,FALSE),0)</f>
        <v>0</v>
      </c>
      <c r="I18">
        <f>IFERROR(VLOOKUP(Table2[[#This Row],[Names]],[1]!Scores_Strokes[#Data],5,FALSE),0)</f>
        <v>0</v>
      </c>
      <c r="J18">
        <f>IFERROR(VLOOKUP(Table2[[#This Row],[Names]],[2]!Scores_Strokes[#Data],5,FALSE),0)</f>
        <v>0</v>
      </c>
      <c r="K18">
        <f>IFERROR(VLOOKUP(Table2[[#This Row],[Names]],[3]!Scores_Strokes[#Data],5,FALSE),0)</f>
        <v>0</v>
      </c>
      <c r="L18" t="s">
        <v>46</v>
      </c>
      <c r="M18" t="s">
        <v>29</v>
      </c>
      <c r="N18" t="s">
        <v>88</v>
      </c>
    </row>
    <row r="19" spans="1:14" x14ac:dyDescent="0.3">
      <c r="A19" t="s">
        <v>59</v>
      </c>
      <c r="B19">
        <v>18</v>
      </c>
      <c r="C19">
        <f t="shared" si="0"/>
        <v>66</v>
      </c>
      <c r="D19">
        <f>IFERROR(VLOOKUP(Table2[[#This Row],[Player Name]],Akasia!$A$2:$C$23,3,FALSE),0)</f>
        <v>14</v>
      </c>
      <c r="E19">
        <f>IFERROR(VLOOKUP(A19,Table58[[Name]:[IPS]],3,FALSE),0)</f>
        <v>22</v>
      </c>
      <c r="F19">
        <f>IFERROR(VLOOKUP(A19,Table585[],3,FALSE),0)</f>
        <v>0</v>
      </c>
      <c r="G19">
        <f>IFERROR(VLOOKUP(Table2[[#This Row],[Player Name]],Table58549[[#All],[Name]:[IPS]],3,FALSE),0)</f>
        <v>30</v>
      </c>
      <c r="H19">
        <f>IFERROR(VLOOKUP(A19,#REF!,3,FALSE),0)</f>
        <v>0</v>
      </c>
      <c r="I19">
        <f>IFERROR(VLOOKUP(Table2[[#This Row],[Names]],[1]!Scores_Strokes[#Data],5,FALSE),0)</f>
        <v>0</v>
      </c>
      <c r="J19">
        <f>IFERROR(VLOOKUP(Table2[[#This Row],[Names]],[2]!Scores_Strokes[#Data],5,FALSE),0)</f>
        <v>0</v>
      </c>
      <c r="K19">
        <f>IFERROR(VLOOKUP(Table2[[#This Row],[Names]],[3]!Scores_Strokes[#Data],5,FALSE),0)</f>
        <v>0</v>
      </c>
      <c r="L19" t="s">
        <v>76</v>
      </c>
      <c r="M19" t="s">
        <v>83</v>
      </c>
      <c r="N19" t="s">
        <v>76</v>
      </c>
    </row>
    <row r="20" spans="1:14" x14ac:dyDescent="0.3">
      <c r="A20" t="s">
        <v>6</v>
      </c>
      <c r="B20">
        <v>19</v>
      </c>
      <c r="C20">
        <f t="shared" si="0"/>
        <v>63</v>
      </c>
      <c r="D20">
        <f>IFERROR(VLOOKUP(Table2[[#This Row],[Player Name]],Akasia!$A$2:$C$23,3,FALSE),0)</f>
        <v>0</v>
      </c>
      <c r="E20">
        <f>IFERROR(VLOOKUP(A20,Table58[[Name]:[IPS]],3,FALSE),0)</f>
        <v>31</v>
      </c>
      <c r="F20">
        <f>IFERROR(VLOOKUP(A20,Table585[],3,FALSE),0)</f>
        <v>0</v>
      </c>
      <c r="G20">
        <f>IFERROR(VLOOKUP(Table2[[#This Row],[Player Name]],Table58549[[#All],[Name]:[IPS]],3,FALSE),0)</f>
        <v>32</v>
      </c>
      <c r="H20">
        <f>IFERROR(VLOOKUP(A20,#REF!,3,FALSE),0)</f>
        <v>0</v>
      </c>
      <c r="I20">
        <f>IFERROR(VLOOKUP(Table2[[#This Row],[Names]],[1]!Scores_Strokes[#Data],5,FALSE),0)</f>
        <v>0</v>
      </c>
      <c r="J20">
        <f>IFERROR(VLOOKUP(Table2[[#This Row],[Names]],[2]!Scores_Strokes[#Data],5,FALSE),0)</f>
        <v>0</v>
      </c>
      <c r="K20">
        <f>IFERROR(VLOOKUP(Table2[[#This Row],[Names]],[3]!Scores_Strokes[#Data],5,FALSE),0)</f>
        <v>0</v>
      </c>
      <c r="L20" t="s">
        <v>42</v>
      </c>
      <c r="M20" t="s">
        <v>28</v>
      </c>
      <c r="N20" t="s">
        <v>42</v>
      </c>
    </row>
    <row r="21" spans="1:14" x14ac:dyDescent="0.3">
      <c r="A21" t="s">
        <v>60</v>
      </c>
      <c r="B21">
        <v>20</v>
      </c>
      <c r="C21">
        <f t="shared" si="0"/>
        <v>55</v>
      </c>
      <c r="D21">
        <f>IFERROR(VLOOKUP(Table2[[#This Row],[Player Name]],Akasia!$A$2:$C$23,3,FALSE),0)</f>
        <v>24</v>
      </c>
      <c r="E21">
        <f>IFERROR(VLOOKUP(A21,Table58[[Name]:[IPS]],3,FALSE),0)</f>
        <v>0</v>
      </c>
      <c r="F21">
        <f>IFERROR(VLOOKUP(A21,Table585[],3,FALSE),0)</f>
        <v>31</v>
      </c>
      <c r="G21">
        <f>IFERROR(VLOOKUP(Table2[[#This Row],[Player Name]],Table58549[[#All],[Name]:[IPS]],3,FALSE),0)</f>
        <v>0</v>
      </c>
      <c r="H21">
        <f>IFERROR(VLOOKUP(A21,#REF!,3,FALSE),0)</f>
        <v>0</v>
      </c>
      <c r="I21">
        <f>IFERROR(VLOOKUP(Table2[[#This Row],[Names]],[1]!Scores_Strokes[#Data],5,FALSE),0)</f>
        <v>0</v>
      </c>
      <c r="J21">
        <f>IFERROR(VLOOKUP(Table2[[#This Row],[Names]],[2]!Scores_Strokes[#Data],5,FALSE),0)</f>
        <v>0</v>
      </c>
      <c r="K21">
        <f>IFERROR(VLOOKUP(Table2[[#This Row],[Names]],[3]!Scores_Strokes[#Data],5,FALSE),0)</f>
        <v>0</v>
      </c>
      <c r="L21" t="s">
        <v>77</v>
      </c>
      <c r="M21" t="s">
        <v>25</v>
      </c>
      <c r="N21" t="s">
        <v>77</v>
      </c>
    </row>
    <row r="22" spans="1:14" x14ac:dyDescent="0.3">
      <c r="A22" t="s">
        <v>12</v>
      </c>
      <c r="B22">
        <v>21</v>
      </c>
      <c r="C22">
        <f t="shared" si="0"/>
        <v>51</v>
      </c>
      <c r="D22">
        <f>IFERROR(VLOOKUP(Table2[[#This Row],[Player Name]],Akasia!$A$2:$C$23,3,FALSE),0)</f>
        <v>31</v>
      </c>
      <c r="E22">
        <f>IFERROR(VLOOKUP(A22,Table58[[Name]:[IPS]],3,FALSE),0)</f>
        <v>20</v>
      </c>
      <c r="F22">
        <f>IFERROR(VLOOKUP(A22,Table585[],3,FALSE),0)</f>
        <v>0</v>
      </c>
      <c r="G22">
        <f>IFERROR(VLOOKUP(Table2[[#This Row],[Player Name]],Table58549[[#All],[Name]:[IPS]],3,FALSE),0)</f>
        <v>0</v>
      </c>
      <c r="H22">
        <f>IFERROR(VLOOKUP(A22,#REF!,3,FALSE),0)</f>
        <v>0</v>
      </c>
      <c r="I22">
        <f>IFERROR(VLOOKUP(Table2[[#This Row],[Names]],[1]!Scores_Strokes[#Data],5,FALSE),0)</f>
        <v>0</v>
      </c>
      <c r="J22">
        <f>IFERROR(VLOOKUP(Table2[[#This Row],[Names]],[2]!Scores_Strokes[#Data],5,FALSE),0)</f>
        <v>0</v>
      </c>
      <c r="K22">
        <f>IFERROR(VLOOKUP(Table2[[#This Row],[Names]],[3]!Scores_Strokes[#Data],5,FALSE),0)</f>
        <v>0</v>
      </c>
      <c r="L22" t="s">
        <v>51</v>
      </c>
      <c r="M22" t="s">
        <v>83</v>
      </c>
      <c r="N22" t="s">
        <v>51</v>
      </c>
    </row>
    <row r="23" spans="1:14" x14ac:dyDescent="0.3">
      <c r="A23" t="s">
        <v>57</v>
      </c>
      <c r="B23">
        <v>22</v>
      </c>
      <c r="C23">
        <f t="shared" si="0"/>
        <v>45</v>
      </c>
      <c r="D23">
        <f>IFERROR(VLOOKUP(Table2[[#This Row],[Player Name]],Akasia!$A$2:$C$23,3,FALSE),0)</f>
        <v>15</v>
      </c>
      <c r="E23">
        <f>IFERROR(VLOOKUP(A23,Table58[[Name]:[IPS]],3,FALSE),0)</f>
        <v>30</v>
      </c>
      <c r="F23">
        <f>IFERROR(VLOOKUP(A23,Table585[],3,FALSE),0)</f>
        <v>0</v>
      </c>
      <c r="G23">
        <f>IFERROR(VLOOKUP(Table2[[#This Row],[Player Name]],Table58549[[#All],[Name]:[IPS]],3,FALSE),0)</f>
        <v>0</v>
      </c>
      <c r="H23">
        <f>IFERROR(VLOOKUP(A23,#REF!,3,FALSE),0)</f>
        <v>0</v>
      </c>
      <c r="I23">
        <f>IFERROR(VLOOKUP(Table2[[#This Row],[Names]],[1]!Scores_Strokes[#Data],5,FALSE),0)</f>
        <v>0</v>
      </c>
      <c r="J23">
        <f>IFERROR(VLOOKUP(Table2[[#This Row],[Names]],[2]!Scores_Strokes[#Data],5,FALSE),0)</f>
        <v>0</v>
      </c>
      <c r="K23">
        <f>IFERROR(VLOOKUP(Table2[[#This Row],[Names]],[3]!Scores_Strokes[#Data],5,FALSE),0)</f>
        <v>0</v>
      </c>
      <c r="L23" t="s">
        <v>75</v>
      </c>
      <c r="M23" t="s">
        <v>83</v>
      </c>
      <c r="N23" t="s">
        <v>75</v>
      </c>
    </row>
    <row r="24" spans="1:14" x14ac:dyDescent="0.3">
      <c r="A24" t="s">
        <v>20</v>
      </c>
      <c r="B24">
        <v>23</v>
      </c>
      <c r="C24">
        <f t="shared" si="0"/>
        <v>34</v>
      </c>
      <c r="D24">
        <f>IFERROR(VLOOKUP(Table2[[#This Row],[Player Name]],Akasia!$A$2:$C$23,3,FALSE),0)</f>
        <v>34</v>
      </c>
      <c r="E24">
        <f>IFERROR(VLOOKUP(A24,Table58[[Name]:[IPS]],3,FALSE),0)</f>
        <v>0</v>
      </c>
      <c r="F24">
        <f>IFERROR(VLOOKUP(A24,Table585[],3,FALSE),0)</f>
        <v>0</v>
      </c>
      <c r="G24">
        <f>IFERROR(VLOOKUP(Table2[[#This Row],[Player Name]],Table58549[[#All],[Name]:[IPS]],3,FALSE),0)</f>
        <v>0</v>
      </c>
      <c r="H24">
        <f>IFERROR(VLOOKUP(A24,#REF!,3,FALSE),0)</f>
        <v>0</v>
      </c>
      <c r="I24">
        <f>IFERROR(VLOOKUP(Table2[[#This Row],[Names]],[1]!Scores_Strokes[#Data],5,FALSE),0)</f>
        <v>0</v>
      </c>
      <c r="J24">
        <f>IFERROR(VLOOKUP(Table2[[#This Row],[Names]],[2]!Scores_Strokes[#Data],5,FALSE),0)</f>
        <v>0</v>
      </c>
      <c r="K24">
        <f>IFERROR(VLOOKUP(Table2[[#This Row],[Names]],[3]!Scores_Strokes[#Data],5,FALSE),0)</f>
        <v>0</v>
      </c>
      <c r="L24" t="s">
        <v>48</v>
      </c>
      <c r="M24" t="s">
        <v>26</v>
      </c>
      <c r="N24" t="s">
        <v>48</v>
      </c>
    </row>
    <row r="25" spans="1:14" x14ac:dyDescent="0.3">
      <c r="A25" t="s">
        <v>10</v>
      </c>
      <c r="C25">
        <f t="shared" si="0"/>
        <v>34</v>
      </c>
      <c r="D25">
        <f>IFERROR(VLOOKUP(Table2[[#This Row],[Player Name]],Akasia!$A$2:$C$23,3,FALSE),0)</f>
        <v>0</v>
      </c>
      <c r="E25">
        <f>IFERROR(VLOOKUP(A25,Table58[[Name]:[IPS]],3,FALSE),0)</f>
        <v>0</v>
      </c>
      <c r="F25">
        <f>IFERROR(VLOOKUP(A25,Table585[],3,FALSE),0)</f>
        <v>0</v>
      </c>
      <c r="G25">
        <f>IFERROR(VLOOKUP(Table2[[#This Row],[Player Name]],Table58549[[#All],[Name]:[IPS]],3,FALSE),0)</f>
        <v>34</v>
      </c>
      <c r="H25">
        <f>IFERROR(VLOOKUP(A25,#REF!,3,FALSE),0)</f>
        <v>0</v>
      </c>
      <c r="I25">
        <f>IFERROR(VLOOKUP(Table2[[#This Row],[Names]],[1]!Scores_Strokes[#Data],5,FALSE),0)</f>
        <v>0</v>
      </c>
      <c r="J25">
        <f>IFERROR(VLOOKUP(Table2[[#This Row],[Names]],[2]!Scores_Strokes[#Data],5,FALSE),0)</f>
        <v>0</v>
      </c>
      <c r="K25">
        <f>IFERROR(VLOOKUP(Table2[[#This Row],[Names]],[3]!Scores_Strokes[#Data],5,FALSE),0)</f>
        <v>0</v>
      </c>
      <c r="L25" t="s">
        <v>45</v>
      </c>
      <c r="M25" t="s">
        <v>83</v>
      </c>
      <c r="N25" t="s">
        <v>45</v>
      </c>
    </row>
    <row r="26" spans="1:14" x14ac:dyDescent="0.3">
      <c r="A26" t="s">
        <v>62</v>
      </c>
      <c r="B26">
        <v>25</v>
      </c>
      <c r="C26">
        <f t="shared" si="0"/>
        <v>28</v>
      </c>
      <c r="D26">
        <f>IFERROR(VLOOKUP(Table2[[#This Row],[Player Name]],Akasia!$A$2:$C$23,3,FALSE),0)</f>
        <v>28</v>
      </c>
      <c r="E26">
        <f>IFERROR(VLOOKUP(A26,Table58[[Name]:[IPS]],3,FALSE),0)</f>
        <v>0</v>
      </c>
      <c r="F26">
        <f>IFERROR(VLOOKUP(A26,Table585[],3,FALSE),0)</f>
        <v>0</v>
      </c>
      <c r="G26">
        <f>IFERROR(VLOOKUP(Table2[[#This Row],[Player Name]],Table58549[[#All],[Name]:[IPS]],3,FALSE),0)</f>
        <v>0</v>
      </c>
      <c r="H26">
        <f>IFERROR(VLOOKUP(A26,#REF!,3,FALSE),0)</f>
        <v>0</v>
      </c>
      <c r="I26">
        <f>IFERROR(VLOOKUP(Table2[[#This Row],[Names]],[1]!Scores_Strokes[#Data],5,FALSE),0)</f>
        <v>0</v>
      </c>
      <c r="J26">
        <f>IFERROR(VLOOKUP(Table2[[#This Row],[Names]],[2]!Scores_Strokes[#Data],5,FALSE),0)</f>
        <v>0</v>
      </c>
      <c r="K26">
        <f>IFERROR(VLOOKUP(Table2[[#This Row],[Names]],[3]!Scores_Strokes[#Data],5,FALSE),0)</f>
        <v>0</v>
      </c>
      <c r="L26" t="s">
        <v>84</v>
      </c>
      <c r="M26" t="s">
        <v>26</v>
      </c>
      <c r="N26" t="s">
        <v>84</v>
      </c>
    </row>
    <row r="27" spans="1:14" x14ac:dyDescent="0.3">
      <c r="A27" t="s">
        <v>15</v>
      </c>
      <c r="B27">
        <v>26</v>
      </c>
      <c r="C27">
        <f t="shared" si="0"/>
        <v>24</v>
      </c>
      <c r="D27">
        <f>IFERROR(VLOOKUP(Table2[[#This Row],[Player Name]],Akasia!$A$2:$C$23,3,FALSE),0)</f>
        <v>24</v>
      </c>
      <c r="E27">
        <f>IFERROR(VLOOKUP(A27,Table58[[Name]:[IPS]],3,FALSE),0)</f>
        <v>0</v>
      </c>
      <c r="F27">
        <f>IFERROR(VLOOKUP(A27,Table585[],3,FALSE),0)</f>
        <v>0</v>
      </c>
      <c r="G27">
        <f>IFERROR(VLOOKUP(Table2[[#This Row],[Player Name]],Table58549[[#All],[Name]:[IPS]],3,FALSE),0)</f>
        <v>0</v>
      </c>
      <c r="H27">
        <f>IFERROR(VLOOKUP(A27,#REF!,3,FALSE),0)</f>
        <v>0</v>
      </c>
      <c r="I27">
        <f>IFERROR(VLOOKUP(Table2[[#This Row],[Names]],[1]!Scores_Strokes[#Data],5,FALSE),0)</f>
        <v>0</v>
      </c>
      <c r="J27">
        <f>IFERROR(VLOOKUP(Table2[[#This Row],[Names]],[2]!Scores_Strokes[#Data],5,FALSE),0)</f>
        <v>0</v>
      </c>
      <c r="K27">
        <f>IFERROR(VLOOKUP(Table2[[#This Row],[Names]],[3]!Scores_Strokes[#Data],5,FALSE),0)</f>
        <v>0</v>
      </c>
      <c r="L27" t="s">
        <v>43</v>
      </c>
      <c r="M27" t="s">
        <v>83</v>
      </c>
      <c r="N27" t="s">
        <v>43</v>
      </c>
    </row>
    <row r="28" spans="1:14" x14ac:dyDescent="0.3">
      <c r="A28" t="s">
        <v>71</v>
      </c>
      <c r="B28">
        <v>27</v>
      </c>
      <c r="C28">
        <f t="shared" si="0"/>
        <v>23</v>
      </c>
      <c r="D28">
        <f>IFERROR(VLOOKUP(Table2[[#This Row],[Player Name]],Akasia!$A$2:$C$23,3,FALSE),0)</f>
        <v>0</v>
      </c>
      <c r="E28">
        <f>IFERROR(VLOOKUP(A28,Table58[[Name]:[IPS]],3,FALSE),0)</f>
        <v>23</v>
      </c>
      <c r="F28">
        <f>IFERROR(VLOOKUP(A28,Table585[],3,FALSE),0)</f>
        <v>0</v>
      </c>
      <c r="G28">
        <f>IFERROR(VLOOKUP(Table2[[#This Row],[Player Name]],Table58549[[#All],[Name]:[IPS]],3,FALSE),0)</f>
        <v>0</v>
      </c>
      <c r="H28">
        <f>IFERROR(VLOOKUP(A28,#REF!,3,FALSE),0)</f>
        <v>0</v>
      </c>
      <c r="I28">
        <f>IFERROR(VLOOKUP(Table2[[#This Row],[Names]],[1]!Scores_Strokes[#Data],5,FALSE),0)</f>
        <v>0</v>
      </c>
      <c r="J28">
        <f>IFERROR(VLOOKUP(Table2[[#This Row],[Names]],[2]!Scores_Strokes[#Data],5,FALSE),0)</f>
        <v>0</v>
      </c>
      <c r="K28">
        <f>IFERROR(VLOOKUP(Table2[[#This Row],[Names]],[3]!Scores_Strokes[#Data],5,FALSE),0)</f>
        <v>0</v>
      </c>
      <c r="L28" t="s">
        <v>70</v>
      </c>
      <c r="M28" t="s">
        <v>83</v>
      </c>
      <c r="N28" t="s">
        <v>70</v>
      </c>
    </row>
  </sheetData>
  <sortState xmlns:xlrd2="http://schemas.microsoft.com/office/spreadsheetml/2017/richdata2" ref="A2:E24">
    <sortCondition descending="1" ref="C2:C24"/>
  </sortState>
  <phoneticPr fontId="1" type="noConversion"/>
  <conditionalFormatting sqref="D2:J28">
    <cfRule type="expression" dxfId="1" priority="1">
      <formula>AND(D2=MIN($D2:$J2), COLUMN(D2)=MATCH(MIN($D2:$J2), $D2:$J2, 0)+COLUMN($D2)-1)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B1F56-E339-4131-B1A0-E7C5F514702D}">
  <dimension ref="A1:M28"/>
  <sheetViews>
    <sheetView workbookViewId="0">
      <selection activeCell="P10" sqref="P10"/>
    </sheetView>
  </sheetViews>
  <sheetFormatPr defaultRowHeight="14.4" x14ac:dyDescent="0.3"/>
  <cols>
    <col min="1" max="1" width="16.77734375" bestFit="1" customWidth="1"/>
    <col min="2" max="2" width="7.77734375" bestFit="1" customWidth="1"/>
    <col min="3" max="3" width="11" customWidth="1"/>
    <col min="5" max="5" width="10.6640625" customWidth="1"/>
    <col min="7" max="7" width="11.5546875" customWidth="1"/>
    <col min="8" max="8" width="10.5546875" hidden="1" customWidth="1"/>
    <col min="9" max="9" width="11.44140625" hidden="1" customWidth="1"/>
    <col min="10" max="10" width="0" hidden="1" customWidth="1"/>
    <col min="11" max="11" width="11.21875" hidden="1" customWidth="1"/>
    <col min="12" max="12" width="11" hidden="1" customWidth="1"/>
  </cols>
  <sheetData>
    <row r="1" spans="1:13" ht="43.2" x14ac:dyDescent="0.3">
      <c r="A1" s="5" t="s">
        <v>0</v>
      </c>
      <c r="B1" s="5" t="s">
        <v>1</v>
      </c>
      <c r="C1" s="5" t="s">
        <v>80</v>
      </c>
      <c r="D1" s="5" t="s">
        <v>21</v>
      </c>
      <c r="E1" s="5" t="s">
        <v>69</v>
      </c>
      <c r="F1" s="5" t="s">
        <v>81</v>
      </c>
      <c r="G1" s="5" t="s">
        <v>85</v>
      </c>
      <c r="H1" s="6" t="s">
        <v>63</v>
      </c>
      <c r="I1" s="5" t="s">
        <v>64</v>
      </c>
      <c r="J1" s="5" t="s">
        <v>65</v>
      </c>
      <c r="K1" s="5" t="s">
        <v>66</v>
      </c>
      <c r="L1" s="5" t="s">
        <v>55</v>
      </c>
      <c r="M1" s="4" t="s">
        <v>72</v>
      </c>
    </row>
    <row r="2" spans="1:13" x14ac:dyDescent="0.3">
      <c r="A2" t="s">
        <v>11</v>
      </c>
      <c r="B2">
        <v>1</v>
      </c>
      <c r="C2">
        <f t="shared" ref="C2:C28" si="0">SUM(D2:K2)</f>
        <v>55</v>
      </c>
      <c r="D2">
        <f>IFERROR(VLOOKUP(Table27[[#This Row],[Player Name]],Akasia!$A$2:$C$23,2,FALSE),0)-72</f>
        <v>16</v>
      </c>
      <c r="E2">
        <f>_xlfn.LET(_xlpm.r,IFERROR(VLOOKUP(A2,Table58[[Name]:[IPS]],2,FALSE),0),IF(_xlpm.r = 0, 0, _xlpm.r-72))</f>
        <v>15</v>
      </c>
      <c r="F2">
        <f>_xlfn.LET(_xlpm.r,IFERROR(VLOOKUP(A2,Table585[#All],2,FALSE),0),IF(_xlpm.r = 0, 0, _xlpm.r-72))</f>
        <v>11</v>
      </c>
      <c r="G2">
        <f>_xlfn.LET(_xlpm.r,IFERROR(VLOOKUP(A2,Table58549[],2,FALSE),0),IF(_xlpm.r = 0, 0, _xlpm.r-72))</f>
        <v>13</v>
      </c>
      <c r="H2" s="2">
        <f>IFERROR(VLOOKUP(A2,#REF!,3,FALSE),0)</f>
        <v>0</v>
      </c>
      <c r="I2">
        <f>IFERROR(VLOOKUP(Table27[[#This Row],[Names]],[1]!Scores_Strokes[#Data],5,FALSE),0)</f>
        <v>0</v>
      </c>
      <c r="J2">
        <f>IFERROR(VLOOKUP(Table27[[#This Row],[Names]],[2]!Scores_Strokes[#Data],5,FALSE),0)</f>
        <v>0</v>
      </c>
      <c r="K2">
        <f>IFERROR(VLOOKUP(Table27[[#This Row],[Names]],[3]!Scores_Strokes[#Data],5,FALSE),0)</f>
        <v>0</v>
      </c>
      <c r="L2" t="s">
        <v>38</v>
      </c>
      <c r="M2" s="3">
        <f>(Table27[[#This Row],[Akasia]]&gt;0)+(Table27[[#This Row],[PGC]]&gt;0)+(Table27[[#This Row],[Kyalami]]&gt;0)+(Table27[[#This Row],[Copperleaf]]&gt;0)</f>
        <v>4</v>
      </c>
    </row>
    <row r="3" spans="1:13" x14ac:dyDescent="0.3">
      <c r="A3" t="s">
        <v>16</v>
      </c>
      <c r="B3">
        <v>2</v>
      </c>
      <c r="C3">
        <f t="shared" si="0"/>
        <v>57</v>
      </c>
      <c r="D3">
        <f>IFERROR(VLOOKUP(Table27[[#This Row],[Player Name]],Akasia!$A$2:$C$23,2,FALSE),0)-72</f>
        <v>15</v>
      </c>
      <c r="E3">
        <f>_xlfn.LET(_xlpm.r,IFERROR(VLOOKUP(A3,Table58[[Name]:[IPS]],2,FALSE),0),IF(_xlpm.r = 0, 0, _xlpm.r-72))</f>
        <v>9</v>
      </c>
      <c r="F3">
        <f>_xlfn.LET(_xlpm.r,IFERROR(VLOOKUP(A3,Table585[#All],2,FALSE),0),IF(_xlpm.r = 0, 0, _xlpm.r-72))</f>
        <v>18</v>
      </c>
      <c r="G3">
        <f>_xlfn.LET(_xlpm.r,IFERROR(VLOOKUP(A3,Table58549[],2,FALSE),0),IF(_xlpm.r = 0, 0, _xlpm.r-72))</f>
        <v>15</v>
      </c>
      <c r="H3">
        <f>IFERROR(VLOOKUP(A3,#REF!,3,FALSE),0)</f>
        <v>0</v>
      </c>
      <c r="I3">
        <f>IFERROR(VLOOKUP(Table27[[#This Row],[Names]],[1]!Scores_Strokes[#Data],5,FALSE),0)</f>
        <v>0</v>
      </c>
      <c r="J3">
        <f>IFERROR(VLOOKUP(Table27[[#This Row],[Names]],[2]!Scores_Strokes[#Data],5,FALSE),0)</f>
        <v>0</v>
      </c>
      <c r="K3">
        <f>IFERROR(VLOOKUP(Table27[[#This Row],[Names]],[3]!Scores_Strokes[#Data],5,FALSE),0)</f>
        <v>0</v>
      </c>
      <c r="L3" t="s">
        <v>35</v>
      </c>
      <c r="M3" s="3">
        <f>(Table27[[#This Row],[Akasia]]&gt;0)+(Table27[[#This Row],[PGC]]&gt;0)+(Table27[[#This Row],[Kyalami]]&gt;0)+(Table27[[#This Row],[Copperleaf]]&gt;0)</f>
        <v>4</v>
      </c>
    </row>
    <row r="4" spans="1:13" x14ac:dyDescent="0.3">
      <c r="A4" t="s">
        <v>4</v>
      </c>
      <c r="B4">
        <v>3</v>
      </c>
      <c r="C4">
        <f t="shared" si="0"/>
        <v>91</v>
      </c>
      <c r="D4">
        <f>IFERROR(VLOOKUP(Table27[[#This Row],[Player Name]],Akasia!$A$2:$C$23,2,FALSE),0)-72</f>
        <v>17</v>
      </c>
      <c r="E4">
        <f>_xlfn.LET(_xlpm.r,IFERROR(VLOOKUP(A4,Table58[[Name]:[IPS]],2,FALSE),0),IF(_xlpm.r = 0, 0, _xlpm.r-72))</f>
        <v>19</v>
      </c>
      <c r="F4">
        <f>_xlfn.LET(_xlpm.r,IFERROR(VLOOKUP(A4,Table585[#All],2,FALSE),0),IF(_xlpm.r = 0, 0, _xlpm.r-72))</f>
        <v>27</v>
      </c>
      <c r="G4">
        <f>_xlfn.LET(_xlpm.r,IFERROR(VLOOKUP(A4,Table58549[],2,FALSE),0),IF(_xlpm.r = 0, 0, _xlpm.r-72))</f>
        <v>28</v>
      </c>
      <c r="H4">
        <f>IFERROR(VLOOKUP(A4,#REF!,3,FALSE),0)</f>
        <v>0</v>
      </c>
      <c r="I4">
        <f>IFERROR(VLOOKUP(Table27[[#This Row],[Names]],[1]!Scores_Strokes[#Data],5,FALSE),0)</f>
        <v>0</v>
      </c>
      <c r="J4">
        <f>IFERROR(VLOOKUP(Table27[[#This Row],[Names]],[2]!Scores_Strokes[#Data],5,FALSE),0)</f>
        <v>0</v>
      </c>
      <c r="K4">
        <f>IFERROR(VLOOKUP(Table27[[#This Row],[Names]],[3]!Scores_Strokes[#Data],5,FALSE),0)</f>
        <v>0</v>
      </c>
      <c r="L4" t="s">
        <v>36</v>
      </c>
      <c r="M4" s="3">
        <f>(Table27[[#This Row],[Akasia]]&gt;0)+(Table27[[#This Row],[PGC]]&gt;0)+(Table27[[#This Row],[Kyalami]]&gt;0)+(Table27[[#This Row],[Copperleaf]]&gt;0)</f>
        <v>4</v>
      </c>
    </row>
    <row r="5" spans="1:13" x14ac:dyDescent="0.3">
      <c r="A5" t="s">
        <v>7</v>
      </c>
      <c r="B5">
        <v>4</v>
      </c>
      <c r="C5">
        <f t="shared" si="0"/>
        <v>98</v>
      </c>
      <c r="D5">
        <f>IFERROR(VLOOKUP(Table27[[#This Row],[Player Name]],Akasia!$A$2:$C$23,2,FALSE),0)-72</f>
        <v>24</v>
      </c>
      <c r="E5">
        <f>_xlfn.LET(_xlpm.r,IFERROR(VLOOKUP(A5,Table58[[Name]:[IPS]],2,FALSE),0),IF(_xlpm.r = 0, 0, _xlpm.r-72))</f>
        <v>24</v>
      </c>
      <c r="F5">
        <f>_xlfn.LET(_xlpm.r,IFERROR(VLOOKUP(A5,Table585[#All],2,FALSE),0),IF(_xlpm.r = 0, 0, _xlpm.r-72))</f>
        <v>23</v>
      </c>
      <c r="G5">
        <f>_xlfn.LET(_xlpm.r,IFERROR(VLOOKUP(A5,Table58549[],2,FALSE),0),IF(_xlpm.r = 0, 0, _xlpm.r-72))</f>
        <v>27</v>
      </c>
      <c r="H5">
        <f>IFERROR(VLOOKUP(A5,#REF!,3,FALSE),0)</f>
        <v>0</v>
      </c>
      <c r="I5">
        <f>IFERROR(VLOOKUP(Table27[[#This Row],[Names]],[1]!Scores_Strokes[#Data],5,FALSE),0)</f>
        <v>0</v>
      </c>
      <c r="J5">
        <f>IFERROR(VLOOKUP(Table27[[#This Row],[Names]],[2]!Scores_Strokes[#Data],5,FALSE),0)</f>
        <v>0</v>
      </c>
      <c r="K5">
        <f>IFERROR(VLOOKUP(Table27[[#This Row],[Names]],[3]!Scores_Strokes[#Data],5,FALSE),0)</f>
        <v>0</v>
      </c>
      <c r="L5" t="s">
        <v>44</v>
      </c>
      <c r="M5" s="3">
        <f>(Table27[[#This Row],[Akasia]]&gt;0)+(Table27[[#This Row],[PGC]]&gt;0)+(Table27[[#This Row],[Kyalami]]&gt;0)+(Table27[[#This Row],[Copperleaf]]&gt;0)</f>
        <v>4</v>
      </c>
    </row>
    <row r="6" spans="1:13" x14ac:dyDescent="0.3">
      <c r="A6" t="s">
        <v>8</v>
      </c>
      <c r="B6">
        <v>5</v>
      </c>
      <c r="C6">
        <f t="shared" si="0"/>
        <v>105</v>
      </c>
      <c r="D6">
        <f>IFERROR(VLOOKUP(Table27[[#This Row],[Player Name]],Akasia!$A$2:$C$23,2,FALSE),0)-72</f>
        <v>26</v>
      </c>
      <c r="E6">
        <f>_xlfn.LET(_xlpm.r,IFERROR(VLOOKUP(A6,Table58[[Name]:[IPS]],2,FALSE),0),IF(_xlpm.r = 0, 0, _xlpm.r-72))</f>
        <v>28</v>
      </c>
      <c r="F6">
        <f>_xlfn.LET(_xlpm.r,IFERROR(VLOOKUP(A6,Table585[#All],2,FALSE),0),IF(_xlpm.r = 0, 0, _xlpm.r-72))</f>
        <v>21</v>
      </c>
      <c r="G6">
        <f>_xlfn.LET(_xlpm.r,IFERROR(VLOOKUP(A6,Table58549[],2,FALSE),0),IF(_xlpm.r = 0, 0, _xlpm.r-72))</f>
        <v>30</v>
      </c>
      <c r="H6">
        <f>IFERROR(VLOOKUP(A6,#REF!,3,FALSE),0)</f>
        <v>0</v>
      </c>
      <c r="I6">
        <f>IFERROR(VLOOKUP(Table27[[#This Row],[Names]],[1]!Scores_Strokes[#Data],5,FALSE),0)</f>
        <v>0</v>
      </c>
      <c r="J6">
        <f>IFERROR(VLOOKUP(Table27[[#This Row],[Names]],[2]!Scores_Strokes[#Data],5,FALSE),0)</f>
        <v>0</v>
      </c>
      <c r="K6">
        <f>IFERROR(VLOOKUP(Table27[[#This Row],[Names]],[3]!Scores_Strokes[#Data],5,FALSE),0)</f>
        <v>0</v>
      </c>
      <c r="L6" t="s">
        <v>49</v>
      </c>
      <c r="M6" s="3">
        <f>(Table27[[#This Row],[Akasia]]&gt;0)+(Table27[[#This Row],[PGC]]&gt;0)+(Table27[[#This Row],[Kyalami]]&gt;0)+(Table27[[#This Row],[Copperleaf]]&gt;0)</f>
        <v>4</v>
      </c>
    </row>
    <row r="7" spans="1:13" x14ac:dyDescent="0.3">
      <c r="A7" t="s">
        <v>58</v>
      </c>
      <c r="B7">
        <v>6</v>
      </c>
      <c r="C7">
        <f t="shared" si="0"/>
        <v>64</v>
      </c>
      <c r="D7">
        <f>IFERROR(VLOOKUP(Table27[[#This Row],[Player Name]],Akasia!$A$2:$C$23,2,FALSE),0)-72</f>
        <v>20</v>
      </c>
      <c r="E7">
        <f>_xlfn.LET(_xlpm.r,IFERROR(VLOOKUP(A7,Table58[[Name]:[IPS]],2,FALSE),0),IF(_xlpm.r = 0, 0, _xlpm.r-72))</f>
        <v>22</v>
      </c>
      <c r="F7">
        <f>_xlfn.LET(_xlpm.r,IFERROR(VLOOKUP(A7,Table585[#All],2,FALSE),0),IF(_xlpm.r = 0, 0, _xlpm.r-72))</f>
        <v>22</v>
      </c>
      <c r="G7">
        <f>_xlfn.LET(_xlpm.r,IFERROR(VLOOKUP(A7,Table58549[],2,FALSE),0),IF(_xlpm.r = 0, 0, _xlpm.r-72))</f>
        <v>0</v>
      </c>
      <c r="H7">
        <f>IFERROR(VLOOKUP(A7,#REF!,3,FALSE),0)</f>
        <v>0</v>
      </c>
      <c r="I7">
        <f>IFERROR(VLOOKUP(Table27[[#This Row],[Names]],[1]!Scores_Strokes[#Data],5,FALSE),0)</f>
        <v>0</v>
      </c>
      <c r="J7">
        <f>IFERROR(VLOOKUP(Table27[[#This Row],[Names]],[2]!Scores_Strokes[#Data],5,FALSE),0)</f>
        <v>0</v>
      </c>
      <c r="K7">
        <f>IFERROR(VLOOKUP(Table27[[#This Row],[Names]],[3]!Scores_Strokes[#Data],5,FALSE),0)</f>
        <v>0</v>
      </c>
      <c r="L7" t="s">
        <v>73</v>
      </c>
      <c r="M7" s="3">
        <f>(Table27[[#This Row],[Akasia]]&gt;0)+(Table27[[#This Row],[PGC]]&gt;0)+(Table27[[#This Row],[Kyalami]]&gt;0)+(Table27[[#This Row],[Copperleaf]]&gt;0)</f>
        <v>3</v>
      </c>
    </row>
    <row r="8" spans="1:13" x14ac:dyDescent="0.3">
      <c r="A8" t="s">
        <v>18</v>
      </c>
      <c r="B8">
        <v>7</v>
      </c>
      <c r="C8">
        <f t="shared" si="0"/>
        <v>64</v>
      </c>
      <c r="D8">
        <f>IFERROR(VLOOKUP(Table27[[#This Row],[Player Name]],Akasia!$A$2:$C$23,2,FALSE),0)-72</f>
        <v>20</v>
      </c>
      <c r="E8">
        <f>_xlfn.LET(_xlpm.r,IFERROR(VLOOKUP(A8,Table58[[Name]:[IPS]],2,FALSE),0),IF(_xlpm.r = 0, 0, _xlpm.r-72))</f>
        <v>23</v>
      </c>
      <c r="F8">
        <f>_xlfn.LET(_xlpm.r,IFERROR(VLOOKUP(A8,Table585[#All],2,FALSE),0),IF(_xlpm.r = 0, 0, _xlpm.r-72))</f>
        <v>0</v>
      </c>
      <c r="G8">
        <f>_xlfn.LET(_xlpm.r,IFERROR(VLOOKUP(A8,Table58549[],2,FALSE),0),IF(_xlpm.r = 0, 0, _xlpm.r-72))</f>
        <v>21</v>
      </c>
      <c r="H8">
        <f>IFERROR(VLOOKUP(A8,#REF!,3,FALSE),0)</f>
        <v>0</v>
      </c>
      <c r="I8">
        <f>IFERROR(VLOOKUP(Table27[[#This Row],[Names]],[1]!Scores_Strokes[#Data],5,FALSE),0)</f>
        <v>0</v>
      </c>
      <c r="J8">
        <f>IFERROR(VLOOKUP(Table27[[#This Row],[Names]],[2]!Scores_Strokes[#Data],5,FALSE),0)</f>
        <v>0</v>
      </c>
      <c r="K8">
        <f>IFERROR(VLOOKUP(Table27[[#This Row],[Names]],[3]!Scores_Strokes[#Data],5,FALSE),0)</f>
        <v>0</v>
      </c>
      <c r="L8" t="s">
        <v>52</v>
      </c>
      <c r="M8" s="3">
        <f>(Table27[[#This Row],[Akasia]]&gt;0)+(Table27[[#This Row],[PGC]]&gt;0)+(Table27[[#This Row],[Kyalami]]&gt;0)+(Table27[[#This Row],[Copperleaf]]&gt;0)</f>
        <v>3</v>
      </c>
    </row>
    <row r="9" spans="1:13" x14ac:dyDescent="0.3">
      <c r="A9" t="s">
        <v>61</v>
      </c>
      <c r="B9">
        <v>8</v>
      </c>
      <c r="C9">
        <f t="shared" si="0"/>
        <v>66</v>
      </c>
      <c r="D9">
        <f>IFERROR(VLOOKUP(Table27[[#This Row],[Player Name]],Akasia!$A$2:$C$23,2,FALSE),0)-72</f>
        <v>27</v>
      </c>
      <c r="E9">
        <f>_xlfn.LET(_xlpm.r,IFERROR(VLOOKUP(A9,Table58[[Name]:[IPS]],2,FALSE),0),IF(_xlpm.r = 0, 0, _xlpm.r-72))</f>
        <v>21</v>
      </c>
      <c r="F9">
        <f>_xlfn.LET(_xlpm.r,IFERROR(VLOOKUP(A9,Table585[#All],2,FALSE),0),IF(_xlpm.r = 0, 0, _xlpm.r-72))</f>
        <v>0</v>
      </c>
      <c r="G9">
        <f>_xlfn.LET(_xlpm.r,IFERROR(VLOOKUP(A9,Table58549[],2,FALSE),0),IF(_xlpm.r = 0, 0, _xlpm.r-72))</f>
        <v>18</v>
      </c>
      <c r="H9">
        <f>IFERROR(VLOOKUP(A9,#REF!,3,FALSE),0)</f>
        <v>0</v>
      </c>
      <c r="I9">
        <f>IFERROR(VLOOKUP(Table27[[#This Row],[Names]],[1]!Scores_Strokes[#Data],5,FALSE),0)</f>
        <v>0</v>
      </c>
      <c r="J9">
        <f>IFERROR(VLOOKUP(Table27[[#This Row],[Names]],[2]!Scores_Strokes[#Data],5,FALSE),0)</f>
        <v>0</v>
      </c>
      <c r="K9">
        <f>IFERROR(VLOOKUP(Table27[[#This Row],[Names]],[3]!Scores_Strokes[#Data],5,FALSE),0)</f>
        <v>0</v>
      </c>
      <c r="L9" t="s">
        <v>74</v>
      </c>
      <c r="M9" s="3">
        <f>(Table27[[#This Row],[Akasia]]&gt;0)+(Table27[[#This Row],[PGC]]&gt;0)+(Table27[[#This Row],[Kyalami]]&gt;0)+(Table27[[#This Row],[Copperleaf]]&gt;0)</f>
        <v>3</v>
      </c>
    </row>
    <row r="10" spans="1:13" x14ac:dyDescent="0.3">
      <c r="A10" t="s">
        <v>22</v>
      </c>
      <c r="B10">
        <v>9</v>
      </c>
      <c r="C10">
        <f t="shared" si="0"/>
        <v>71</v>
      </c>
      <c r="D10">
        <f>IFERROR(VLOOKUP(Table27[[#This Row],[Player Name]],Akasia!$A$2:$C$23,2,FALSE),0)-72</f>
        <v>24</v>
      </c>
      <c r="E10">
        <f>_xlfn.LET(_xlpm.r,IFERROR(VLOOKUP(A10,Table58[[Name]:[IPS]],2,FALSE),0),IF(_xlpm.r = 0, 0, _xlpm.r-72))</f>
        <v>0</v>
      </c>
      <c r="F10">
        <f>_xlfn.LET(_xlpm.r,IFERROR(VLOOKUP(A10,Table585[#All],2,FALSE),0),IF(_xlpm.r = 0, 0, _xlpm.r-72))</f>
        <v>23</v>
      </c>
      <c r="G10">
        <f>_xlfn.LET(_xlpm.r,IFERROR(VLOOKUP(A10,Table58549[],2,FALSE),0),IF(_xlpm.r = 0, 0, _xlpm.r-72))</f>
        <v>24</v>
      </c>
      <c r="H10">
        <f>IFERROR(VLOOKUP(A10,#REF!,3,FALSE),0)</f>
        <v>0</v>
      </c>
      <c r="I10">
        <f>IFERROR(VLOOKUP(Table27[[#This Row],[Names]],[1]!Scores_Strokes[#Data],5,FALSE),0)</f>
        <v>0</v>
      </c>
      <c r="J10">
        <f>IFERROR(VLOOKUP(Table27[[#This Row],[Names]],[2]!Scores_Strokes[#Data],5,FALSE),0)</f>
        <v>0</v>
      </c>
      <c r="K10">
        <f>IFERROR(VLOOKUP(Table27[[#This Row],[Names]],[3]!Scores_Strokes[#Data],5,FALSE),0)</f>
        <v>0</v>
      </c>
      <c r="L10" t="s">
        <v>50</v>
      </c>
      <c r="M10" s="3">
        <f>(Table27[[#This Row],[Akasia]]&gt;0)+(Table27[[#This Row],[PGC]]&gt;0)+(Table27[[#This Row],[Kyalami]]&gt;0)+(Table27[[#This Row],[Copperleaf]]&gt;0)</f>
        <v>3</v>
      </c>
    </row>
    <row r="11" spans="1:13" x14ac:dyDescent="0.3">
      <c r="A11" t="s">
        <v>13</v>
      </c>
      <c r="B11">
        <v>10</v>
      </c>
      <c r="C11">
        <f t="shared" si="0"/>
        <v>75</v>
      </c>
      <c r="D11">
        <f>IFERROR(VLOOKUP(Table27[[#This Row],[Player Name]],Akasia!$A$2:$C$23,2,FALSE),0)-72</f>
        <v>25</v>
      </c>
      <c r="E11">
        <f>_xlfn.LET(_xlpm.r,IFERROR(VLOOKUP(A11,Table58[[Name]:[IPS]],2,FALSE),0),IF(_xlpm.r = 0, 0, _xlpm.r-72))</f>
        <v>29</v>
      </c>
      <c r="F11">
        <f>_xlfn.LET(_xlpm.r,IFERROR(VLOOKUP(A11,Table585[#All],2,FALSE),0),IF(_xlpm.r = 0, 0, _xlpm.r-72))</f>
        <v>21</v>
      </c>
      <c r="G11">
        <f>_xlfn.LET(_xlpm.r,IFERROR(VLOOKUP(A11,Table58549[],2,FALSE),0),IF(_xlpm.r = 0, 0, _xlpm.r-72))</f>
        <v>0</v>
      </c>
      <c r="H11">
        <f>IFERROR(VLOOKUP(A11,#REF!,3,FALSE),0)</f>
        <v>0</v>
      </c>
      <c r="I11">
        <f>IFERROR(VLOOKUP(Table27[[#This Row],[Names]],[1]!Scores_Strokes[#Data],5,FALSE),0)</f>
        <v>0</v>
      </c>
      <c r="J11">
        <f>IFERROR(VLOOKUP(Table27[[#This Row],[Names]],[2]!Scores_Strokes[#Data],5,FALSE),0)</f>
        <v>0</v>
      </c>
      <c r="K11">
        <f>IFERROR(VLOOKUP(Table27[[#This Row],[Names]],[3]!Scores_Strokes[#Data],5,FALSE),0)</f>
        <v>0</v>
      </c>
      <c r="L11" t="s">
        <v>41</v>
      </c>
      <c r="M11" s="3">
        <f>(Table27[[#This Row],[Akasia]]&gt;0)+(Table27[[#This Row],[PGC]]&gt;0)+(Table27[[#This Row],[Kyalami]]&gt;0)+(Table27[[#This Row],[Copperleaf]]&gt;0)</f>
        <v>3</v>
      </c>
    </row>
    <row r="12" spans="1:13" x14ac:dyDescent="0.3">
      <c r="A12" t="s">
        <v>17</v>
      </c>
      <c r="B12">
        <v>11</v>
      </c>
      <c r="C12">
        <f t="shared" si="0"/>
        <v>79</v>
      </c>
      <c r="D12">
        <f>IFERROR(VLOOKUP(Table27[[#This Row],[Player Name]],Akasia!$A$2:$C$23,2,FALSE),0)-72</f>
        <v>18</v>
      </c>
      <c r="E12">
        <f>_xlfn.LET(_xlpm.r,IFERROR(VLOOKUP(A12,Table58[[Name]:[IPS]],2,FALSE),0),IF(_xlpm.r = 0, 0, _xlpm.r-72))</f>
        <v>23</v>
      </c>
      <c r="F12">
        <f>_xlfn.LET(_xlpm.r,IFERROR(VLOOKUP(A12,Table585[#All],2,FALSE),0),IF(_xlpm.r = 0, 0, _xlpm.r-72))</f>
        <v>0</v>
      </c>
      <c r="G12">
        <f>_xlfn.LET(_xlpm.r,IFERROR(VLOOKUP(A12,Table58549[],2,FALSE),0),IF(_xlpm.r = 0, 0, _xlpm.r-72))</f>
        <v>38</v>
      </c>
      <c r="H12">
        <f>IFERROR(VLOOKUP(A12,#REF!,3,FALSE),0)</f>
        <v>0</v>
      </c>
      <c r="I12">
        <f>IFERROR(VLOOKUP(Table27[[#This Row],[Names]],[1]!Scores_Strokes[#Data],5,FALSE),0)</f>
        <v>0</v>
      </c>
      <c r="J12">
        <f>IFERROR(VLOOKUP(Table27[[#This Row],[Names]],[2]!Scores_Strokes[#Data],5,FALSE),0)</f>
        <v>0</v>
      </c>
      <c r="K12">
        <f>IFERROR(VLOOKUP(Table27[[#This Row],[Names]],[3]!Scores_Strokes[#Data],5,FALSE),0)</f>
        <v>0</v>
      </c>
      <c r="L12" t="s">
        <v>54</v>
      </c>
      <c r="M12" s="3">
        <f>(Table27[[#This Row],[Akasia]]&gt;0)+(Table27[[#This Row],[PGC]]&gt;0)+(Table27[[#This Row],[Kyalami]]&gt;0)+(Table27[[#This Row],[Copperleaf]]&gt;0)</f>
        <v>3</v>
      </c>
    </row>
    <row r="13" spans="1:13" x14ac:dyDescent="0.3">
      <c r="A13" t="s">
        <v>56</v>
      </c>
      <c r="B13">
        <v>12</v>
      </c>
      <c r="C13">
        <f t="shared" si="0"/>
        <v>83</v>
      </c>
      <c r="D13">
        <f>IFERROR(VLOOKUP(Table27[[#This Row],[Player Name]],Akasia!$A$2:$C$23,2,FALSE),0)-72</f>
        <v>21</v>
      </c>
      <c r="E13">
        <f>_xlfn.LET(_xlpm.r,IFERROR(VLOOKUP(A13,Table58[[Name]:[IPS]],2,FALSE),0),IF(_xlpm.r = 0, 0, _xlpm.r-72))</f>
        <v>30</v>
      </c>
      <c r="F13">
        <f>_xlfn.LET(_xlpm.r,IFERROR(VLOOKUP(A13,Table585[#All],2,FALSE),0),IF(_xlpm.r = 0, 0, _xlpm.r-72))</f>
        <v>32</v>
      </c>
      <c r="G13">
        <f>_xlfn.LET(_xlpm.r,IFERROR(VLOOKUP(A13,Table58549[],2,FALSE),0),IF(_xlpm.r = 0, 0, _xlpm.r-72))</f>
        <v>0</v>
      </c>
      <c r="H13">
        <f>IFERROR(VLOOKUP(A13,#REF!,3,FALSE),0)</f>
        <v>0</v>
      </c>
      <c r="I13">
        <f>IFERROR(VLOOKUP(Table27[[#This Row],[Names]],[1]!Scores_Strokes[#Data],5,FALSE),0)</f>
        <v>0</v>
      </c>
      <c r="J13">
        <f>IFERROR(VLOOKUP(Table27[[#This Row],[Names]],[2]!Scores_Strokes[#Data],5,FALSE),0)</f>
        <v>0</v>
      </c>
      <c r="K13">
        <f>IFERROR(VLOOKUP(Table27[[#This Row],[Names]],[3]!Scores_Strokes[#Data],5,FALSE),0)</f>
        <v>0</v>
      </c>
      <c r="L13" t="s">
        <v>47</v>
      </c>
      <c r="M13" s="3">
        <f>(Table27[[#This Row],[Akasia]]&gt;0)+(Table27[[#This Row],[PGC]]&gt;0)+(Table27[[#This Row],[Kyalami]]&gt;0)+(Table27[[#This Row],[Copperleaf]]&gt;0)</f>
        <v>3</v>
      </c>
    </row>
    <row r="14" spans="1:13" x14ac:dyDescent="0.3">
      <c r="A14" t="s">
        <v>9</v>
      </c>
      <c r="B14">
        <v>13</v>
      </c>
      <c r="C14">
        <f t="shared" si="0"/>
        <v>90</v>
      </c>
      <c r="D14">
        <f>IFERROR(VLOOKUP(Table27[[#This Row],[Player Name]],Akasia!$A$2:$C$23,2,FALSE),0)-72</f>
        <v>30</v>
      </c>
      <c r="E14">
        <f>_xlfn.LET(_xlpm.r,IFERROR(VLOOKUP(A14,Table58[[Name]:[IPS]],2,FALSE),0),IF(_xlpm.r = 0, 0, _xlpm.r-72))</f>
        <v>28</v>
      </c>
      <c r="F14">
        <f>_xlfn.LET(_xlpm.r,IFERROR(VLOOKUP(A14,Table585[#All],2,FALSE),0),IF(_xlpm.r = 0, 0, _xlpm.r-72))</f>
        <v>0</v>
      </c>
      <c r="G14">
        <f>_xlfn.LET(_xlpm.r,IFERROR(VLOOKUP(A14,Table58549[],2,FALSE),0),IF(_xlpm.r = 0, 0, _xlpm.r-72))</f>
        <v>32</v>
      </c>
      <c r="H14">
        <f>IFERROR(VLOOKUP(A14,#REF!,3,FALSE),0)</f>
        <v>0</v>
      </c>
      <c r="I14">
        <f>IFERROR(VLOOKUP(Table27[[#This Row],[Names]],[1]!Scores_Strokes[#Data],5,FALSE),0)</f>
        <v>0</v>
      </c>
      <c r="J14">
        <f>IFERROR(VLOOKUP(Table27[[#This Row],[Names]],[2]!Scores_Strokes[#Data],5,FALSE),0)</f>
        <v>0</v>
      </c>
      <c r="K14">
        <f>IFERROR(VLOOKUP(Table27[[#This Row],[Names]],[3]!Scores_Strokes[#Data],5,FALSE),0)</f>
        <v>0</v>
      </c>
      <c r="L14" t="s">
        <v>37</v>
      </c>
      <c r="M14" s="3">
        <f>(Table27[[#This Row],[Akasia]]&gt;0)+(Table27[[#This Row],[PGC]]&gt;0)+(Table27[[#This Row],[Kyalami]]&gt;0)+(Table27[[#This Row],[Copperleaf]]&gt;0)</f>
        <v>3</v>
      </c>
    </row>
    <row r="15" spans="1:13" x14ac:dyDescent="0.3">
      <c r="A15" t="s">
        <v>59</v>
      </c>
      <c r="B15">
        <v>14</v>
      </c>
      <c r="C15">
        <f t="shared" si="0"/>
        <v>123</v>
      </c>
      <c r="D15">
        <f>IFERROR(VLOOKUP(Table27[[#This Row],[Player Name]],Akasia!$A$2:$C$23,2,FALSE),0)-72</f>
        <v>40</v>
      </c>
      <c r="E15">
        <f>_xlfn.LET(_xlpm.r,IFERROR(VLOOKUP(A15,Table58[[Name]:[IPS]],2,FALSE),0),IF(_xlpm.r = 0, 0, _xlpm.r-72))</f>
        <v>43</v>
      </c>
      <c r="F15">
        <f>_xlfn.LET(_xlpm.r,IFERROR(VLOOKUP(A15,Table585[#All],2,FALSE),0),IF(_xlpm.r = 0, 0, _xlpm.r-72))</f>
        <v>0</v>
      </c>
      <c r="G15">
        <f>_xlfn.LET(_xlpm.r,IFERROR(VLOOKUP(A15,Table58549[],2,FALSE),0),IF(_xlpm.r = 0, 0, _xlpm.r-72))</f>
        <v>40</v>
      </c>
      <c r="H15">
        <f>IFERROR(VLOOKUP(A15,#REF!,3,FALSE),0)</f>
        <v>0</v>
      </c>
      <c r="I15">
        <f>IFERROR(VLOOKUP(Table27[[#This Row],[Names]],[1]!Scores_Strokes[#Data],5,FALSE),0)</f>
        <v>0</v>
      </c>
      <c r="J15">
        <f>IFERROR(VLOOKUP(Table27[[#This Row],[Names]],[2]!Scores_Strokes[#Data],5,FALSE),0)</f>
        <v>0</v>
      </c>
      <c r="K15">
        <f>IFERROR(VLOOKUP(Table27[[#This Row],[Names]],[3]!Scores_Strokes[#Data],5,FALSE),0)</f>
        <v>0</v>
      </c>
      <c r="L15" t="s">
        <v>76</v>
      </c>
      <c r="M15" s="3">
        <f>(Table27[[#This Row],[Akasia]]&gt;0)+(Table27[[#This Row],[PGC]]&gt;0)+(Table27[[#This Row],[Kyalami]]&gt;0)+(Table27[[#This Row],[Copperleaf]]&gt;0)</f>
        <v>3</v>
      </c>
    </row>
    <row r="16" spans="1:13" x14ac:dyDescent="0.3">
      <c r="A16" t="s">
        <v>6</v>
      </c>
      <c r="B16">
        <v>15</v>
      </c>
      <c r="C16">
        <f t="shared" si="0"/>
        <v>17</v>
      </c>
      <c r="D16">
        <v>0</v>
      </c>
      <c r="E16">
        <f>_xlfn.LET(_xlpm.r,IFERROR(VLOOKUP(A16,Table58[[Name]:[IPS]],2,FALSE),0),IF(_xlpm.r = 0, 0, _xlpm.r-72))</f>
        <v>10</v>
      </c>
      <c r="F16">
        <f>_xlfn.LET(_xlpm.r,IFERROR(VLOOKUP(A16,Table585[#All],2,FALSE),0),IF(_xlpm.r = 0, 0, _xlpm.r-72))</f>
        <v>0</v>
      </c>
      <c r="G16">
        <f>_xlfn.LET(_xlpm.r,IFERROR(VLOOKUP(A16,Table58549[],2,FALSE),0),IF(_xlpm.r = 0, 0, _xlpm.r-72))</f>
        <v>7</v>
      </c>
      <c r="H16">
        <f>IFERROR(VLOOKUP(A16,#REF!,3,FALSE),0)</f>
        <v>0</v>
      </c>
      <c r="I16">
        <f>IFERROR(VLOOKUP(Table27[[#This Row],[Names]],[1]!Scores_Strokes[#Data],5,FALSE),0)</f>
        <v>0</v>
      </c>
      <c r="J16">
        <f>IFERROR(VLOOKUP(Table27[[#This Row],[Names]],[2]!Scores_Strokes[#Data],5,FALSE),0)</f>
        <v>0</v>
      </c>
      <c r="K16">
        <f>IFERROR(VLOOKUP(Table27[[#This Row],[Names]],[3]!Scores_Strokes[#Data],5,FALSE),0)</f>
        <v>0</v>
      </c>
      <c r="L16" t="s">
        <v>42</v>
      </c>
      <c r="M16" s="3">
        <f>(Table27[[#This Row],[Akasia]]&gt;0)+(Table27[[#This Row],[PGC]]&gt;0)+(Table27[[#This Row],[Kyalami]]&gt;0)+(Table27[[#This Row],[Copperleaf]]&gt;0)</f>
        <v>2</v>
      </c>
    </row>
    <row r="17" spans="1:13" x14ac:dyDescent="0.3">
      <c r="A17" t="s">
        <v>14</v>
      </c>
      <c r="B17">
        <v>16</v>
      </c>
      <c r="C17">
        <f t="shared" si="0"/>
        <v>22</v>
      </c>
      <c r="D17">
        <f>IFERROR(VLOOKUP(Table27[[#This Row],[Player Name]],Akasia!$A$2:$C$23,2,FALSE),0)-72</f>
        <v>14</v>
      </c>
      <c r="E17">
        <f>_xlfn.LET(_xlpm.r,IFERROR(VLOOKUP(A17,Table58[[Name]:[IPS]],2,FALSE),0),IF(_xlpm.r = 0, 0, _xlpm.r-72))</f>
        <v>0</v>
      </c>
      <c r="F17">
        <f>_xlfn.LET(_xlpm.r,IFERROR(VLOOKUP(A17,Table585[#All],2,FALSE),0),IF(_xlpm.r = 0, 0, _xlpm.r-72))</f>
        <v>0</v>
      </c>
      <c r="G17">
        <f>_xlfn.LET(_xlpm.r,IFERROR(VLOOKUP(A17,Table58549[],2,FALSE),0),IF(_xlpm.r = 0, 0, _xlpm.r-72))</f>
        <v>8</v>
      </c>
      <c r="H17">
        <f>IFERROR(VLOOKUP(A17,#REF!,3,FALSE),0)</f>
        <v>0</v>
      </c>
      <c r="I17">
        <f>IFERROR(VLOOKUP(Table27[[#This Row],[Names]],[1]!Scores_Strokes[#Data],5,FALSE),0)</f>
        <v>0</v>
      </c>
      <c r="J17">
        <f>IFERROR(VLOOKUP(Table27[[#This Row],[Names]],[2]!Scores_Strokes[#Data],5,FALSE),0)</f>
        <v>0</v>
      </c>
      <c r="K17">
        <f>IFERROR(VLOOKUP(Table27[[#This Row],[Names]],[3]!Scores_Strokes[#Data],5,FALSE),0)</f>
        <v>0</v>
      </c>
      <c r="L17" t="s">
        <v>53</v>
      </c>
      <c r="M17" s="3">
        <f>(Table27[[#This Row],[Akasia]]&gt;0)+(Table27[[#This Row],[PGC]]&gt;0)+(Table27[[#This Row],[Kyalami]]&gt;0)+(Table27[[#This Row],[Copperleaf]]&gt;0)</f>
        <v>2</v>
      </c>
    </row>
    <row r="18" spans="1:13" x14ac:dyDescent="0.3">
      <c r="A18" t="s">
        <v>19</v>
      </c>
      <c r="B18">
        <v>17</v>
      </c>
      <c r="C18">
        <f t="shared" si="0"/>
        <v>33</v>
      </c>
      <c r="D18">
        <v>0</v>
      </c>
      <c r="E18">
        <f>_xlfn.LET(_xlpm.r,IFERROR(VLOOKUP(A18,Table58[[Name]:[IPS]],2,FALSE),0),IF(_xlpm.r = 0, 0, _xlpm.r-72))</f>
        <v>15</v>
      </c>
      <c r="F18">
        <f>_xlfn.LET(_xlpm.r,IFERROR(VLOOKUP(A18,Table585[#All],2,FALSE),0),IF(_xlpm.r = 0, 0, _xlpm.r-72))</f>
        <v>18</v>
      </c>
      <c r="G18">
        <f>_xlfn.LET(_xlpm.r,IFERROR(VLOOKUP(A18,Table58549[],2,FALSE),0),IF(_xlpm.r = 0, 0, _xlpm.r-72))</f>
        <v>0</v>
      </c>
      <c r="H18">
        <f>IFERROR(VLOOKUP(A18,#REF!,3,FALSE),0)</f>
        <v>0</v>
      </c>
      <c r="I18">
        <f>IFERROR(VLOOKUP(Table27[[#This Row],[Names]],[1]!Scores_Strokes[#Data],5,FALSE),0)</f>
        <v>0</v>
      </c>
      <c r="J18">
        <f>IFERROR(VLOOKUP(Table27[[#This Row],[Names]],[2]!Scores_Strokes[#Data],5,FALSE),0)</f>
        <v>0</v>
      </c>
      <c r="K18">
        <f>IFERROR(VLOOKUP(Table27[[#This Row],[Names]],[3]!Scores_Strokes[#Data],5,FALSE),0)</f>
        <v>0</v>
      </c>
      <c r="L18" t="s">
        <v>39</v>
      </c>
      <c r="M18" s="3">
        <f>(Table27[[#This Row],[Akasia]]&gt;0)+(Table27[[#This Row],[PGC]]&gt;0)+(Table27[[#This Row],[Kyalami]]&gt;0)+(Table27[[#This Row],[Copperleaf]]&gt;0)</f>
        <v>2</v>
      </c>
    </row>
    <row r="19" spans="1:13" x14ac:dyDescent="0.3">
      <c r="A19" t="s">
        <v>3</v>
      </c>
      <c r="B19">
        <v>18</v>
      </c>
      <c r="C19">
        <f t="shared" si="0"/>
        <v>39</v>
      </c>
      <c r="D19">
        <v>0</v>
      </c>
      <c r="E19">
        <f>_xlfn.LET(_xlpm.r,IFERROR(VLOOKUP(A19,Table58[[Name]:[IPS]],2,FALSE),0),IF(_xlpm.r = 0, 0, _xlpm.r-72))</f>
        <v>18</v>
      </c>
      <c r="F19">
        <f>_xlfn.LET(_xlpm.r,IFERROR(VLOOKUP(A19,Table585[#All],2,FALSE),0),IF(_xlpm.r = 0, 0, _xlpm.r-72))</f>
        <v>21</v>
      </c>
      <c r="G19">
        <f>_xlfn.LET(_xlpm.r,IFERROR(VLOOKUP(A19,Table58549[],2,FALSE),0),IF(_xlpm.r = 0, 0, _xlpm.r-72))</f>
        <v>0</v>
      </c>
      <c r="H19">
        <f>IFERROR(VLOOKUP(A19,#REF!,3,FALSE),0)</f>
        <v>0</v>
      </c>
      <c r="I19">
        <f>IFERROR(VLOOKUP(Table27[[#This Row],[Names]],[1]!Scores_Strokes[#Data],5,FALSE),0)</f>
        <v>0</v>
      </c>
      <c r="J19">
        <f>IFERROR(VLOOKUP(Table27[[#This Row],[Names]],[2]!Scores_Strokes[#Data],5,FALSE),0)</f>
        <v>0</v>
      </c>
      <c r="K19">
        <f>IFERROR(VLOOKUP(Table27[[#This Row],[Names]],[3]!Scores_Strokes[#Data],5,FALSE),0)</f>
        <v>0</v>
      </c>
      <c r="L19" t="s">
        <v>40</v>
      </c>
      <c r="M19" s="3">
        <f>(Table27[[#This Row],[Akasia]]&gt;0)+(Table27[[#This Row],[PGC]]&gt;0)+(Table27[[#This Row],[Kyalami]]&gt;0)+(Table27[[#This Row],[Copperleaf]]&gt;0)</f>
        <v>2</v>
      </c>
    </row>
    <row r="20" spans="1:13" x14ac:dyDescent="0.3">
      <c r="A20" t="s">
        <v>5</v>
      </c>
      <c r="B20">
        <v>19</v>
      </c>
      <c r="C20">
        <f t="shared" si="0"/>
        <v>41</v>
      </c>
      <c r="D20">
        <f>IFERROR(VLOOKUP(Table27[[#This Row],[Player Name]],Akasia!$A$2:$C$23,2,FALSE),0)-72</f>
        <v>19</v>
      </c>
      <c r="E20">
        <f>_xlfn.LET(_xlpm.r,IFERROR(VLOOKUP(A20,Table58[[Name]:[IPS]],2,FALSE),0),IF(_xlpm.r = 0, 0, _xlpm.r-72))</f>
        <v>0</v>
      </c>
      <c r="F20">
        <f>_xlfn.LET(_xlpm.r,IFERROR(VLOOKUP(A20,Table585[#All],2,FALSE),0),IF(_xlpm.r = 0, 0, _xlpm.r-72))</f>
        <v>0</v>
      </c>
      <c r="G20">
        <f>_xlfn.LET(_xlpm.r,IFERROR(VLOOKUP(A20,Table58549[],2,FALSE),0),IF(_xlpm.r = 0, 0, _xlpm.r-72))</f>
        <v>22</v>
      </c>
      <c r="H20">
        <f>IFERROR(VLOOKUP(A20,#REF!,3,FALSE),0)</f>
        <v>0</v>
      </c>
      <c r="I20">
        <f>IFERROR(VLOOKUP(Table27[[#This Row],[Names]],[1]!Scores_Strokes[#Data],5,FALSE),0)</f>
        <v>0</v>
      </c>
      <c r="J20">
        <f>IFERROR(VLOOKUP(Table27[[#This Row],[Names]],[2]!Scores_Strokes[#Data],5,FALSE),0)</f>
        <v>0</v>
      </c>
      <c r="K20">
        <f>IFERROR(VLOOKUP(Table27[[#This Row],[Names]],[3]!Scores_Strokes[#Data],5,FALSE),0)</f>
        <v>0</v>
      </c>
      <c r="L20" t="s">
        <v>46</v>
      </c>
      <c r="M20" s="3">
        <f>(Table27[[#This Row],[Akasia]]&gt;0)+(Table27[[#This Row],[PGC]]&gt;0)+(Table27[[#This Row],[Kyalami]]&gt;0)+(Table27[[#This Row],[Copperleaf]]&gt;0)</f>
        <v>2</v>
      </c>
    </row>
    <row r="21" spans="1:13" x14ac:dyDescent="0.3">
      <c r="A21" t="s">
        <v>60</v>
      </c>
      <c r="B21">
        <v>20</v>
      </c>
      <c r="C21">
        <f t="shared" si="0"/>
        <v>48</v>
      </c>
      <c r="D21">
        <f>IFERROR(VLOOKUP(Table27[[#This Row],[Player Name]],Akasia!$A$2:$C$23,2,FALSE),0)-72</f>
        <v>26</v>
      </c>
      <c r="E21">
        <f>_xlfn.LET(_xlpm.r,IFERROR(VLOOKUP(A21,Table58[[Name]:[IPS]],2,FALSE),0),IF(_xlpm.r = 0, 0, _xlpm.r-72))</f>
        <v>0</v>
      </c>
      <c r="F21">
        <f>_xlfn.LET(_xlpm.r,IFERROR(VLOOKUP(A21,Table585[#All],2,FALSE),0),IF(_xlpm.r = 0, 0, _xlpm.r-72))</f>
        <v>22</v>
      </c>
      <c r="G21">
        <f>_xlfn.LET(_xlpm.r,IFERROR(VLOOKUP(A21,Table58549[],2,FALSE),0),IF(_xlpm.r = 0, 0, _xlpm.r-72))</f>
        <v>0</v>
      </c>
      <c r="H21">
        <f>IFERROR(VLOOKUP(A21,#REF!,3,FALSE),0)</f>
        <v>0</v>
      </c>
      <c r="I21">
        <f>IFERROR(VLOOKUP(Table27[[#This Row],[Names]],[1]!Scores_Strokes[#Data],5,FALSE),0)</f>
        <v>0</v>
      </c>
      <c r="J21">
        <f>IFERROR(VLOOKUP(Table27[[#This Row],[Names]],[2]!Scores_Strokes[#Data],5,FALSE),0)</f>
        <v>0</v>
      </c>
      <c r="K21">
        <f>IFERROR(VLOOKUP(Table27[[#This Row],[Names]],[3]!Scores_Strokes[#Data],5,FALSE),0)</f>
        <v>0</v>
      </c>
      <c r="L21" t="s">
        <v>77</v>
      </c>
      <c r="M21" s="3">
        <f>(Table27[[#This Row],[Akasia]]&gt;0)+(Table27[[#This Row],[PGC]]&gt;0)+(Table27[[#This Row],[Kyalami]]&gt;0)+(Table27[[#This Row],[Copperleaf]]&gt;0)</f>
        <v>2</v>
      </c>
    </row>
    <row r="22" spans="1:13" x14ac:dyDescent="0.3">
      <c r="A22" t="s">
        <v>12</v>
      </c>
      <c r="B22">
        <v>21</v>
      </c>
      <c r="C22">
        <f t="shared" si="0"/>
        <v>63</v>
      </c>
      <c r="D22">
        <f>IFERROR(VLOOKUP(Table27[[#This Row],[Player Name]],Akasia!$A$2:$C$23,2,FALSE),0)-72</f>
        <v>27</v>
      </c>
      <c r="E22">
        <f>_xlfn.LET(_xlpm.r,IFERROR(VLOOKUP(A22,Table58[[Name]:[IPS]],2,FALSE),0),IF(_xlpm.r = 0, 0, _xlpm.r-72))</f>
        <v>36</v>
      </c>
      <c r="F22">
        <f>_xlfn.LET(_xlpm.r,IFERROR(VLOOKUP(A22,Table585[#All],2,FALSE),0),IF(_xlpm.r = 0, 0, _xlpm.r-72))</f>
        <v>0</v>
      </c>
      <c r="G22">
        <f>_xlfn.LET(_xlpm.r,IFERROR(VLOOKUP(A22,Table58549[],2,FALSE),0),IF(_xlpm.r = 0, 0, _xlpm.r-72))</f>
        <v>0</v>
      </c>
      <c r="H22">
        <f>IFERROR(VLOOKUP(A22,#REF!,3,FALSE),0)</f>
        <v>0</v>
      </c>
      <c r="I22">
        <f>IFERROR(VLOOKUP(Table27[[#This Row],[Names]],[1]!Scores_Strokes[#Data],5,FALSE),0)</f>
        <v>0</v>
      </c>
      <c r="J22">
        <f>IFERROR(VLOOKUP(Table27[[#This Row],[Names]],[2]!Scores_Strokes[#Data],5,FALSE),0)</f>
        <v>0</v>
      </c>
      <c r="K22">
        <f>IFERROR(VLOOKUP(Table27[[#This Row],[Names]],[3]!Scores_Strokes[#Data],5,FALSE),0)</f>
        <v>0</v>
      </c>
      <c r="L22" t="s">
        <v>51</v>
      </c>
      <c r="M22" s="3">
        <f>(Table27[[#This Row],[Akasia]]&gt;0)+(Table27[[#This Row],[PGC]]&gt;0)+(Table27[[#This Row],[Kyalami]]&gt;0)+(Table27[[#This Row],[Copperleaf]]&gt;0)</f>
        <v>2</v>
      </c>
    </row>
    <row r="23" spans="1:13" x14ac:dyDescent="0.3">
      <c r="A23" t="s">
        <v>57</v>
      </c>
      <c r="B23">
        <v>22</v>
      </c>
      <c r="C23">
        <f t="shared" si="0"/>
        <v>74</v>
      </c>
      <c r="D23">
        <f>IFERROR(VLOOKUP(Table27[[#This Row],[Player Name]],Akasia!$A$2:$C$23,2,FALSE),0)-72</f>
        <v>40</v>
      </c>
      <c r="E23">
        <f>_xlfn.LET(_xlpm.r,IFERROR(VLOOKUP(A23,Table58[[Name]:[IPS]],2,FALSE),0),IF(_xlpm.r = 0, 0, _xlpm.r-72))</f>
        <v>34</v>
      </c>
      <c r="F23">
        <f>_xlfn.LET(_xlpm.r,IFERROR(VLOOKUP(A23,Table585[#All],2,FALSE),0),IF(_xlpm.r = 0, 0, _xlpm.r-72))</f>
        <v>0</v>
      </c>
      <c r="G23">
        <f>_xlfn.LET(_xlpm.r,IFERROR(VLOOKUP(A23,Table58549[],2,FALSE),0),IF(_xlpm.r = 0, 0, _xlpm.r-72))</f>
        <v>0</v>
      </c>
      <c r="H23">
        <f>IFERROR(VLOOKUP(A23,#REF!,3,FALSE),0)</f>
        <v>0</v>
      </c>
      <c r="I23">
        <f>IFERROR(VLOOKUP(Table27[[#This Row],[Names]],[1]!Scores_Strokes[#Data],5,FALSE),0)</f>
        <v>0</v>
      </c>
      <c r="J23">
        <f>IFERROR(VLOOKUP(Table27[[#This Row],[Names]],[2]!Scores_Strokes[#Data],5,FALSE),0)</f>
        <v>0</v>
      </c>
      <c r="K23">
        <f>IFERROR(VLOOKUP(Table27[[#This Row],[Names]],[3]!Scores_Strokes[#Data],5,FALSE),0)</f>
        <v>0</v>
      </c>
      <c r="L23" t="s">
        <v>75</v>
      </c>
      <c r="M23" s="3">
        <f>(Table27[[#This Row],[Akasia]]&gt;0)+(Table27[[#This Row],[PGC]]&gt;0)+(Table27[[#This Row],[Kyalami]]&gt;0)+(Table27[[#This Row],[Copperleaf]]&gt;0)</f>
        <v>2</v>
      </c>
    </row>
    <row r="24" spans="1:13" x14ac:dyDescent="0.3">
      <c r="A24" t="s">
        <v>10</v>
      </c>
      <c r="B24">
        <v>23</v>
      </c>
      <c r="C24">
        <f t="shared" si="0"/>
        <v>16</v>
      </c>
      <c r="D24">
        <v>0</v>
      </c>
      <c r="E24">
        <f>_xlfn.LET(_xlpm.r,IFERROR(VLOOKUP(A24,Table58[[Name]:[IPS]],2,FALSE),0),IF(_xlpm.r = 0, 0, _xlpm.r-72))</f>
        <v>0</v>
      </c>
      <c r="F24">
        <f>_xlfn.LET(_xlpm.r,IFERROR(VLOOKUP(A24,Table585[#All],2,FALSE),0),IF(_xlpm.r = 0, 0, _xlpm.r-72))</f>
        <v>0</v>
      </c>
      <c r="G24">
        <f>_xlfn.LET(_xlpm.r,IFERROR(VLOOKUP(A24,Table58549[],2,FALSE),0),IF(_xlpm.r = 0, 0, _xlpm.r-72))</f>
        <v>16</v>
      </c>
      <c r="H24">
        <f>IFERROR(VLOOKUP(A24,#REF!,3,FALSE),0)</f>
        <v>0</v>
      </c>
      <c r="I24">
        <f>IFERROR(VLOOKUP(Table27[[#This Row],[Names]],[1]!Scores_Strokes[#Data],5,FALSE),0)</f>
        <v>0</v>
      </c>
      <c r="J24">
        <f>IFERROR(VLOOKUP(Table27[[#This Row],[Names]],[2]!Scores_Strokes[#Data],5,FALSE),0)</f>
        <v>0</v>
      </c>
      <c r="K24">
        <f>IFERROR(VLOOKUP(Table27[[#This Row],[Names]],[3]!Scores_Strokes[#Data],5,FALSE),0)</f>
        <v>0</v>
      </c>
      <c r="L24" t="s">
        <v>45</v>
      </c>
      <c r="M24" s="3">
        <f>(Table27[[#This Row],[Akasia]]&gt;0)+(Table27[[#This Row],[PGC]]&gt;0)+(Table27[[#This Row],[Kyalami]]&gt;0)+(Table27[[#This Row],[Copperleaf]]&gt;0)</f>
        <v>1</v>
      </c>
    </row>
    <row r="25" spans="1:13" x14ac:dyDescent="0.3">
      <c r="A25" t="s">
        <v>20</v>
      </c>
      <c r="B25">
        <v>24</v>
      </c>
      <c r="C25">
        <f t="shared" si="0"/>
        <v>21</v>
      </c>
      <c r="D25">
        <f>IFERROR(VLOOKUP(Table27[[#This Row],[Player Name]],Akasia!$A$2:$C$23,2,FALSE),0)-72</f>
        <v>21</v>
      </c>
      <c r="E25">
        <f>_xlfn.LET(_xlpm.r,IFERROR(VLOOKUP(A25,Table58[[Name]:[IPS]],2,FALSE),0),IF(_xlpm.r = 0, 0, _xlpm.r-72))</f>
        <v>0</v>
      </c>
      <c r="F25">
        <f>_xlfn.LET(_xlpm.r,IFERROR(VLOOKUP(A25,Table585[#All],2,FALSE),0),IF(_xlpm.r = 0, 0, _xlpm.r-72))</f>
        <v>0</v>
      </c>
      <c r="G25">
        <f>_xlfn.LET(_xlpm.r,IFERROR(VLOOKUP(A25,Table58549[],2,FALSE),0),IF(_xlpm.r = 0, 0, _xlpm.r-72))</f>
        <v>0</v>
      </c>
      <c r="H25">
        <f>IFERROR(VLOOKUP(A25,#REF!,3,FALSE),0)</f>
        <v>0</v>
      </c>
      <c r="I25">
        <f>IFERROR(VLOOKUP(Table27[[#This Row],[Names]],[1]!Scores_Strokes[#Data],5,FALSE),0)</f>
        <v>0</v>
      </c>
      <c r="J25">
        <f>IFERROR(VLOOKUP(Table27[[#This Row],[Names]],[2]!Scores_Strokes[#Data],5,FALSE),0)</f>
        <v>0</v>
      </c>
      <c r="K25">
        <f>IFERROR(VLOOKUP(Table27[[#This Row],[Names]],[3]!Scores_Strokes[#Data],5,FALSE),0)</f>
        <v>0</v>
      </c>
      <c r="L25" t="s">
        <v>48</v>
      </c>
      <c r="M25" s="3">
        <f>(Table27[[#This Row],[Akasia]]&gt;0)+(Table27[[#This Row],[PGC]]&gt;0)+(Table27[[#This Row],[Kyalami]]&gt;0)+(Table27[[#This Row],[Copperleaf]]&gt;0)</f>
        <v>1</v>
      </c>
    </row>
    <row r="26" spans="1:13" x14ac:dyDescent="0.3">
      <c r="A26" t="s">
        <v>62</v>
      </c>
      <c r="B26">
        <v>25</v>
      </c>
      <c r="C26">
        <f t="shared" si="0"/>
        <v>31</v>
      </c>
      <c r="D26">
        <f>IFERROR(VLOOKUP(Table27[[#This Row],[Player Name]],Akasia!$A$2:$C$23,2,FALSE),0)-72</f>
        <v>31</v>
      </c>
      <c r="E26">
        <f>_xlfn.LET(_xlpm.r,IFERROR(VLOOKUP(A26,Table58[[Name]:[IPS]],2,FALSE),0),IF(_xlpm.r = 0, 0, _xlpm.r-72))</f>
        <v>0</v>
      </c>
      <c r="F26">
        <f>_xlfn.LET(_xlpm.r,IFERROR(VLOOKUP(A26,Table585[#All],2,FALSE),0),IF(_xlpm.r = 0, 0, _xlpm.r-72))</f>
        <v>0</v>
      </c>
      <c r="G26">
        <f>_xlfn.LET(_xlpm.r,IFERROR(VLOOKUP(A26,Table58549[],2,FALSE),0),IF(_xlpm.r = 0, 0, _xlpm.r-72))</f>
        <v>0</v>
      </c>
      <c r="H26">
        <f>IFERROR(VLOOKUP(A26,#REF!,3,FALSE),0)</f>
        <v>0</v>
      </c>
      <c r="I26">
        <f>IFERROR(VLOOKUP(Table27[[#This Row],[Names]],[1]!Scores_Strokes[#Data],5,FALSE),0)</f>
        <v>0</v>
      </c>
      <c r="J26">
        <f>IFERROR(VLOOKUP(Table27[[#This Row],[Names]],[2]!Scores_Strokes[#Data],5,FALSE),0)</f>
        <v>0</v>
      </c>
      <c r="K26">
        <f>IFERROR(VLOOKUP(Table27[[#This Row],[Names]],[3]!Scores_Strokes[#Data],5,FALSE),0)</f>
        <v>0</v>
      </c>
      <c r="L26" t="s">
        <v>38</v>
      </c>
      <c r="M26" s="3">
        <f>(Table27[[#This Row],[Akasia]]&gt;0)+(Table27[[#This Row],[PGC]]&gt;0)+(Table27[[#This Row],[Kyalami]]&gt;0)+(Table27[[#This Row],[Copperleaf]]&gt;0)</f>
        <v>1</v>
      </c>
    </row>
    <row r="27" spans="1:13" x14ac:dyDescent="0.3">
      <c r="A27" t="s">
        <v>71</v>
      </c>
      <c r="B27">
        <v>26</v>
      </c>
      <c r="C27">
        <f t="shared" si="0"/>
        <v>31</v>
      </c>
      <c r="D27">
        <v>0</v>
      </c>
      <c r="E27">
        <f>_xlfn.LET(_xlpm.r,IFERROR(VLOOKUP(A27,Table58[[Name]:[IPS]],2,FALSE),0),IF(_xlpm.r = 0, 0, _xlpm.r-72))</f>
        <v>31</v>
      </c>
      <c r="F27">
        <f>_xlfn.LET(_xlpm.r,IFERROR(VLOOKUP(A27,Table585[#All],2,FALSE),0),IF(_xlpm.r = 0, 0, _xlpm.r-72))</f>
        <v>0</v>
      </c>
      <c r="G27">
        <f>_xlfn.LET(_xlpm.r,IFERROR(VLOOKUP(A27,Table58549[],2,FALSE),0),IF(_xlpm.r = 0, 0, _xlpm.r-72))</f>
        <v>0</v>
      </c>
      <c r="H27">
        <f>IFERROR(VLOOKUP(A27,#REF!,3,FALSE),0)</f>
        <v>0</v>
      </c>
      <c r="I27">
        <f>IFERROR(VLOOKUP(Table27[[#This Row],[Names]],[1]!Scores_Strokes[#Data],5,FALSE),0)</f>
        <v>0</v>
      </c>
      <c r="J27">
        <f>IFERROR(VLOOKUP(Table27[[#This Row],[Names]],[2]!Scores_Strokes[#Data],5,FALSE),0)</f>
        <v>0</v>
      </c>
      <c r="K27">
        <f>IFERROR(VLOOKUP(Table27[[#This Row],[Names]],[3]!Scores_Strokes[#Data],5,FALSE),0)</f>
        <v>0</v>
      </c>
      <c r="L27" t="s">
        <v>45</v>
      </c>
      <c r="M27" s="3">
        <f>(Table27[[#This Row],[Akasia]]&gt;0)+(Table27[[#This Row],[PGC]]&gt;0)+(Table27[[#This Row],[Kyalami]]&gt;0)+(Table27[[#This Row],[Copperleaf]]&gt;0)</f>
        <v>1</v>
      </c>
    </row>
    <row r="28" spans="1:13" x14ac:dyDescent="0.3">
      <c r="A28" t="s">
        <v>15</v>
      </c>
      <c r="B28">
        <v>27</v>
      </c>
      <c r="C28">
        <f t="shared" si="0"/>
        <v>33</v>
      </c>
      <c r="D28">
        <f>IFERROR(VLOOKUP(Table27[[#This Row],[Player Name]],Akasia!$A$2:$C$23,2,FALSE),0)-72</f>
        <v>33</v>
      </c>
      <c r="E28">
        <f>_xlfn.LET(_xlpm.r,IFERROR(VLOOKUP(A28,Table58[[Name]:[IPS]],2,FALSE),0),IF(_xlpm.r = 0, 0, _xlpm.r-72))</f>
        <v>0</v>
      </c>
      <c r="F28">
        <f>_xlfn.LET(_xlpm.r,IFERROR(VLOOKUP(A28,Table585[#All],2,FALSE),0),IF(_xlpm.r = 0, 0, _xlpm.r-72))</f>
        <v>0</v>
      </c>
      <c r="G28">
        <f>_xlfn.LET(_xlpm.r,IFERROR(VLOOKUP(A28,Table58549[],2,FALSE),0),IF(_xlpm.r = 0, 0, _xlpm.r-72))</f>
        <v>0</v>
      </c>
      <c r="H28">
        <f>IFERROR(VLOOKUP(A28,#REF!,3,FALSE),0)</f>
        <v>0</v>
      </c>
      <c r="I28">
        <f>IFERROR(VLOOKUP(Table27[[#This Row],[Names]],[1]!Scores_Strokes[#Data],5,FALSE),0)</f>
        <v>0</v>
      </c>
      <c r="J28">
        <f>IFERROR(VLOOKUP(Table27[[#This Row],[Names]],[2]!Scores_Strokes[#Data],5,FALSE),0)</f>
        <v>0</v>
      </c>
      <c r="K28">
        <f>IFERROR(VLOOKUP(Table27[[#This Row],[Names]],[3]!Scores_Strokes[#Data],5,FALSE),0)</f>
        <v>0</v>
      </c>
      <c r="L28" t="s">
        <v>43</v>
      </c>
      <c r="M28" s="3">
        <f>(Table27[[#This Row],[Akasia]]&gt;0)+(Table27[[#This Row],[PGC]]&gt;0)+(Table27[[#This Row],[Kyalami]]&gt;0)+(Table27[[#This Row],[Copperleaf]]&gt;0)</f>
        <v>1</v>
      </c>
    </row>
  </sheetData>
  <phoneticPr fontId="1" type="noConversion"/>
  <conditionalFormatting sqref="D2:J28">
    <cfRule type="expression" dxfId="0" priority="4">
      <formula>AND(D2=MIN($D2:$J2), COLUMN(D2)=MATCH(MIN($D2:$J2), $D2:$J2, 0)+COLUMN($D2)-1)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F3684-297B-47CB-9628-92C45D4A5710}">
  <dimension ref="A1:K20"/>
  <sheetViews>
    <sheetView workbookViewId="0">
      <selection activeCell="G6" sqref="G6"/>
    </sheetView>
  </sheetViews>
  <sheetFormatPr defaultRowHeight="14.4" x14ac:dyDescent="0.3"/>
  <cols>
    <col min="1" max="1" width="14.109375" bestFit="1" customWidth="1"/>
    <col min="4" max="4" width="12.21875" customWidth="1"/>
    <col min="5" max="5" width="10.109375" bestFit="1" customWidth="1"/>
    <col min="6" max="6" width="10.5546875" bestFit="1" customWidth="1"/>
    <col min="7" max="7" width="13.5546875" bestFit="1" customWidth="1"/>
    <col min="8" max="9" width="13.5546875" customWidth="1"/>
    <col min="10" max="10" width="8.44140625" bestFit="1" customWidth="1"/>
  </cols>
  <sheetData>
    <row r="1" spans="1:11" x14ac:dyDescent="0.3">
      <c r="A1" t="s">
        <v>24</v>
      </c>
      <c r="B1" t="s">
        <v>31</v>
      </c>
      <c r="C1" t="s">
        <v>21</v>
      </c>
      <c r="D1" t="s">
        <v>69</v>
      </c>
      <c r="E1" t="s">
        <v>81</v>
      </c>
      <c r="F1" t="s">
        <v>90</v>
      </c>
      <c r="G1" t="s">
        <v>94</v>
      </c>
      <c r="H1" t="s">
        <v>64</v>
      </c>
      <c r="I1" t="s">
        <v>65</v>
      </c>
      <c r="J1" t="s">
        <v>66</v>
      </c>
      <c r="K1" t="s">
        <v>32</v>
      </c>
    </row>
    <row r="2" spans="1:11" x14ac:dyDescent="0.3">
      <c r="A2" t="s">
        <v>25</v>
      </c>
      <c r="B2">
        <f>SUM(C2:J2)</f>
        <v>389</v>
      </c>
      <c r="C2" cm="1">
        <f t="array" ref="C2">SUM(_xlfn.TAKE(_xlfn._xlws.SORT(_xlfn._xlws.FILTER(Akasia!$C$2:$C$23,Akasia!$D$2:$D$23=A2), 1, -1), 3))</f>
        <v>108</v>
      </c>
      <c r="D2" cm="1">
        <f t="array" ref="D2">SUM(_xlfn.TAKE(_xlfn._xlws.SORT(_xlfn._xlws.FILTER(PGC!$C$2:$C$25, PGC!$D$2:$D$25=A2), 1, -1), 3))</f>
        <v>102</v>
      </c>
      <c r="E2" cm="1">
        <f t="array" ref="E2">SUM(_xlfn.TAKE(_xlfn._xlws.SORT(_xlfn._xlws.FILTER(Kyalami!$C$2:$C$13,Kyalami!$D$2:$D$13=A2), 1,-1), 3))</f>
        <v>103</v>
      </c>
      <c r="F2" cm="1">
        <f t="array" ref="F2">SUM(_xlfn.TAKE(_xlfn._xlws.SORT(_xlfn._xlws.FILTER(CopperLeaf!$C$2:$C$16,CopperLeaf!$D$2:$D$16=A2), 1,-1), 3))</f>
        <v>76</v>
      </c>
      <c r="G2" cm="1">
        <f t="array" ref="G2">SUM(_xlfn.TAKE(_xlfn._xlws.SORT(_xlfn._xlws.FILTER(Services!$A$2:$C$23,Services!$D$2:$D$23=A2), 1, TRUE), 3))</f>
        <v>0</v>
      </c>
      <c r="K2">
        <v>1</v>
      </c>
    </row>
    <row r="3" spans="1:11" x14ac:dyDescent="0.3">
      <c r="A3" t="s">
        <v>29</v>
      </c>
      <c r="B3">
        <f>SUM(C3:J3)</f>
        <v>334</v>
      </c>
      <c r="C3" cm="1">
        <f t="array" ref="C3">SUM(_xlfn.TAKE(_xlfn._xlws.SORT(_xlfn._xlws.FILTER(Akasia!$C$2:$C$23,Akasia!$D$2:$D$23=A3), 1, -1), 3))</f>
        <v>104</v>
      </c>
      <c r="D3" cm="1">
        <f t="array" ref="D3">SUM(_xlfn.TAKE(_xlfn._xlws.SORT(_xlfn._xlws.FILTER(PGC!$C$2:$C$25, PGC!$D$2:$D$25=A3), 1, -1), 3))</f>
        <v>86</v>
      </c>
      <c r="E3" cm="1">
        <f t="array" ref="E3">SUM(_xlfn.TAKE(_xlfn._xlws.SORT(_xlfn._xlws.FILTER(Kyalami!$C$2:$C$13,Kyalami!$D$2:$D$13=A3), 1,-1), 3))</f>
        <v>63</v>
      </c>
      <c r="F3" cm="1">
        <f t="array" ref="F3">SUM(_xlfn.TAKE(_xlfn._xlws.SORT(_xlfn._xlws.FILTER(CopperLeaf!$C$2:$C$16,CopperLeaf!$D$2:$D$16=A3), 1,-1), 3))</f>
        <v>81</v>
      </c>
      <c r="G3" cm="1">
        <f t="array" ref="G3">SUM(_xlfn.TAKE(_xlfn._xlws.SORT(_xlfn._xlws.FILTER(Services!$A$2:$C$23,Services!$D$2:$D$23=A3), 1, TRUE), 3))</f>
        <v>0</v>
      </c>
      <c r="K3">
        <v>2</v>
      </c>
    </row>
    <row r="4" spans="1:11" x14ac:dyDescent="0.3">
      <c r="A4" t="s">
        <v>26</v>
      </c>
      <c r="B4">
        <f>SUM(C4:J4)</f>
        <v>309</v>
      </c>
      <c r="C4" cm="1">
        <f t="array" ref="C4">SUM(_xlfn.TAKE(_xlfn._xlws.SORT(_xlfn._xlws.FILTER(Akasia!$C$2:$C$23,Akasia!$D$2:$D$23=A4), 1, -1), 3))</f>
        <v>102</v>
      </c>
      <c r="D4" cm="1">
        <f t="array" ref="D4">SUM(_xlfn.TAKE(_xlfn._xlws.SORT(_xlfn._xlws.FILTER(PGC!$C$2:$C$25, PGC!$D$2:$D$25=A4), 1, -1), 3))</f>
        <v>86</v>
      </c>
      <c r="E4" cm="1">
        <f t="array" ref="E4">SUM(_xlfn.TAKE(_xlfn._xlws.SORT(_xlfn._xlws.FILTER(Kyalami!$C$2:$C$13,Kyalami!$D$2:$D$13=A4), 1,-1), 3))</f>
        <v>37</v>
      </c>
      <c r="F4" cm="1">
        <f t="array" ref="F4">SUM(_xlfn.TAKE(_xlfn._xlws.SORT(_xlfn._xlws.FILTER(CopperLeaf!$C$2:$C$16,CopperLeaf!$D$2:$D$16=A4), 1,-1), 3))</f>
        <v>84</v>
      </c>
      <c r="G4" cm="1">
        <f t="array" ref="G4">SUM(_xlfn.TAKE(_xlfn._xlws.SORT(_xlfn._xlws.FILTER(Services!$A$2:$C$23,Services!$D$2:$D$23=A4), 1, TRUE), 3))</f>
        <v>0</v>
      </c>
      <c r="K4">
        <v>3</v>
      </c>
    </row>
    <row r="5" spans="1:11" x14ac:dyDescent="0.3">
      <c r="A5" t="s">
        <v>28</v>
      </c>
      <c r="B5">
        <f>SUM(C5:J5)</f>
        <v>294</v>
      </c>
      <c r="C5" cm="1">
        <f t="array" ref="C5">SUM(_xlfn.TAKE(_xlfn._xlws.SORT(_xlfn._xlws.FILTER(Akasia!$C$2:$C$23,Akasia!$D$2:$D$23=A5), 1, -1), 3))</f>
        <v>57</v>
      </c>
      <c r="D5" cm="1">
        <f t="array" ref="D5">SUM(_xlfn.TAKE(_xlfn._xlws.SORT(_xlfn._xlws.FILTER(PGC!$C$2:$C$25, PGC!$D$2:$D$25=A5), 1, -1), 3))</f>
        <v>94</v>
      </c>
      <c r="E5" cm="1">
        <f t="array" ref="E5">SUM(_xlfn.TAKE(_xlfn._xlws.SORT(_xlfn._xlws.FILTER(Kyalami!$C$2:$C$13,Kyalami!$D$2:$D$13=A5), 1,-1), 3))</f>
        <v>87</v>
      </c>
      <c r="F5" cm="1">
        <f t="array" ref="F5">SUM(_xlfn.TAKE(_xlfn._xlws.SORT(_xlfn._xlws.FILTER(CopperLeaf!$C$2:$C$16,CopperLeaf!$D$2:$D$16=A5), 1,-1), 3))</f>
        <v>56</v>
      </c>
      <c r="G5" cm="1">
        <f t="array" ref="G5">SUM(_xlfn.TAKE(_xlfn._xlws.SORT(_xlfn._xlws.FILTER(Services!$A$2:$C$23,Services!$D$2:$D$23=A5), 1, TRUE), 3))</f>
        <v>0</v>
      </c>
      <c r="K5">
        <v>4</v>
      </c>
    </row>
    <row r="6" spans="1:11" x14ac:dyDescent="0.3">
      <c r="A6" t="s">
        <v>83</v>
      </c>
      <c r="B6">
        <f>SUM(C6:J6)</f>
        <v>288</v>
      </c>
      <c r="C6">
        <v>186</v>
      </c>
      <c r="D6">
        <v>0</v>
      </c>
      <c r="E6">
        <v>0</v>
      </c>
      <c r="F6" cm="1">
        <f t="array" ref="F6">SUM(_xlfn.TAKE(_xlfn._xlws.SORT(_xlfn._xlws.FILTER(CopperLeaf!$C$2:$C$16,CopperLeaf!$D$2:$D$16=A6), 1,-1), 3))</f>
        <v>102</v>
      </c>
      <c r="G6" cm="1">
        <f t="array" ref="G6">SUM(_xlfn.TAKE(_xlfn._xlws.SORT(_xlfn._xlws.FILTER(Services!$A$2:$C$23,Services!$D$2:$D$23=A6), 1, TRUE), 3))</f>
        <v>0</v>
      </c>
      <c r="K6">
        <v>5</v>
      </c>
    </row>
    <row r="7" spans="1:11" x14ac:dyDescent="0.3">
      <c r="A7" t="s">
        <v>30</v>
      </c>
      <c r="B7">
        <v>0</v>
      </c>
      <c r="C7">
        <v>0</v>
      </c>
      <c r="D7">
        <v>0</v>
      </c>
      <c r="E7">
        <v>0</v>
      </c>
      <c r="F7">
        <v>0</v>
      </c>
      <c r="G7" t="e" cm="1" vm="1">
        <f t="array" ref="G7">SUM(_xlfn.TAKE(_xlfn._xlws.SORT(_xlfn._xlws.FILTER(Services!$A$2:$C$23,Services!$D$2:$D$23=A7), 1, TRUE), 3))</f>
        <v>#VALUE!</v>
      </c>
      <c r="K7">
        <v>6</v>
      </c>
    </row>
    <row r="11" spans="1:11" x14ac:dyDescent="0.3">
      <c r="G11" t="s">
        <v>78</v>
      </c>
    </row>
    <row r="12" spans="1:11" x14ac:dyDescent="0.3">
      <c r="G12" t="s">
        <v>79</v>
      </c>
    </row>
    <row r="13" spans="1:11" x14ac:dyDescent="0.3">
      <c r="G13" t="s">
        <v>82</v>
      </c>
    </row>
    <row r="15" spans="1:11" x14ac:dyDescent="0.3">
      <c r="A15" t="s">
        <v>25</v>
      </c>
      <c r="B15">
        <v>308</v>
      </c>
      <c r="C15">
        <v>108</v>
      </c>
      <c r="D15">
        <v>97</v>
      </c>
    </row>
    <row r="16" spans="1:11" x14ac:dyDescent="0.3">
      <c r="A16" t="s">
        <v>26</v>
      </c>
      <c r="B16">
        <v>213</v>
      </c>
      <c r="C16">
        <v>90</v>
      </c>
      <c r="D16">
        <v>86</v>
      </c>
    </row>
    <row r="17" spans="1:7" x14ac:dyDescent="0.3">
      <c r="A17" t="s">
        <v>29</v>
      </c>
      <c r="B17">
        <v>236</v>
      </c>
      <c r="C17">
        <v>87</v>
      </c>
      <c r="D17">
        <v>86</v>
      </c>
    </row>
    <row r="18" spans="1:7" x14ac:dyDescent="0.3">
      <c r="A18" t="s">
        <v>27</v>
      </c>
      <c r="B18">
        <v>186</v>
      </c>
      <c r="C18">
        <v>86</v>
      </c>
      <c r="D18">
        <v>76</v>
      </c>
    </row>
    <row r="19" spans="1:7" x14ac:dyDescent="0.3">
      <c r="A19" t="s">
        <v>28</v>
      </c>
      <c r="B19">
        <v>238</v>
      </c>
      <c r="C19">
        <v>57</v>
      </c>
      <c r="D19">
        <v>94</v>
      </c>
    </row>
    <row r="20" spans="1:7" x14ac:dyDescent="0.3">
      <c r="A20" t="s">
        <v>83</v>
      </c>
      <c r="B20">
        <v>156</v>
      </c>
      <c r="C20">
        <v>63</v>
      </c>
      <c r="D20">
        <v>64</v>
      </c>
      <c r="G20" s="7" t="s">
        <v>95</v>
      </c>
    </row>
  </sheetData>
  <sortState xmlns:xlrd2="http://schemas.microsoft.com/office/spreadsheetml/2017/richdata2" ref="A2:D7">
    <sortCondition descending="1" ref="B2:B7"/>
  </sortState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47CA4-380F-4CD1-8C79-400FAE7D5B8C}">
  <dimension ref="A1:D24"/>
  <sheetViews>
    <sheetView workbookViewId="0">
      <selection activeCell="D23" sqref="D23"/>
    </sheetView>
  </sheetViews>
  <sheetFormatPr defaultRowHeight="14.4" x14ac:dyDescent="0.3"/>
  <cols>
    <col min="1" max="1" width="16.6640625" bestFit="1" customWidth="1"/>
    <col min="3" max="3" width="10.33203125" bestFit="1" customWidth="1"/>
    <col min="4" max="4" width="14.109375" bestFit="1" customWidth="1"/>
    <col min="5" max="5" width="11.21875" bestFit="1" customWidth="1"/>
  </cols>
  <sheetData>
    <row r="1" spans="1:4" x14ac:dyDescent="0.3">
      <c r="A1" t="s">
        <v>33</v>
      </c>
      <c r="B1" t="s">
        <v>23</v>
      </c>
      <c r="C1" t="s">
        <v>34</v>
      </c>
      <c r="D1" t="s">
        <v>68</v>
      </c>
    </row>
    <row r="2" spans="1:4" x14ac:dyDescent="0.3">
      <c r="A2" t="s">
        <v>17</v>
      </c>
      <c r="B2">
        <v>90</v>
      </c>
      <c r="C2">
        <v>40</v>
      </c>
      <c r="D2" t="str">
        <f>VLOOKUP(Table5[[#This Row],[Name]],Table2[],13,FALSE)</f>
        <v>Fairway Fighters</v>
      </c>
    </row>
    <row r="3" spans="1:4" x14ac:dyDescent="0.3">
      <c r="A3" t="s">
        <v>11</v>
      </c>
      <c r="B3">
        <v>88</v>
      </c>
      <c r="C3">
        <v>36</v>
      </c>
      <c r="D3" t="str">
        <f>VLOOKUP(Table5[[#This Row],[Name]],Table2[],13,FALSE)</f>
        <v>Home Boys</v>
      </c>
    </row>
    <row r="4" spans="1:4" x14ac:dyDescent="0.3">
      <c r="A4" t="s">
        <v>5</v>
      </c>
      <c r="B4">
        <v>91</v>
      </c>
      <c r="C4">
        <v>36</v>
      </c>
      <c r="D4" t="str">
        <f>VLOOKUP(Table5[[#This Row],[Name]],Table2[],13,FALSE)</f>
        <v>Tee Stingers</v>
      </c>
    </row>
    <row r="5" spans="1:4" x14ac:dyDescent="0.3">
      <c r="A5" t="s">
        <v>14</v>
      </c>
      <c r="B5">
        <v>86</v>
      </c>
      <c r="C5">
        <v>36</v>
      </c>
      <c r="D5" t="str">
        <f>VLOOKUP(Table5[[#This Row],[Name]],Table2[],13,FALSE)</f>
        <v>Tee Tigers</v>
      </c>
    </row>
    <row r="6" spans="1:4" x14ac:dyDescent="0.3">
      <c r="A6" t="s">
        <v>56</v>
      </c>
      <c r="B6">
        <v>93</v>
      </c>
      <c r="C6">
        <v>35</v>
      </c>
      <c r="D6" t="str">
        <f>VLOOKUP(Table5[[#This Row],[Name]],Table2[],13,FALSE)</f>
        <v>Tee Tigers</v>
      </c>
    </row>
    <row r="7" spans="1:4" x14ac:dyDescent="0.3">
      <c r="A7" t="s">
        <v>7</v>
      </c>
      <c r="B7">
        <v>96</v>
      </c>
      <c r="C7">
        <v>35</v>
      </c>
      <c r="D7" t="str">
        <f>VLOOKUP(Table5[[#This Row],[Name]],Table2[],13,FALSE)</f>
        <v>Fairway Fighters</v>
      </c>
    </row>
    <row r="8" spans="1:4" x14ac:dyDescent="0.3">
      <c r="A8" t="s">
        <v>4</v>
      </c>
      <c r="B8">
        <v>89</v>
      </c>
      <c r="C8">
        <v>35</v>
      </c>
      <c r="D8" t="str">
        <f>VLOOKUP(Table5[[#This Row],[Name]],Table2[],13,FALSE)</f>
        <v>Tee Stingers</v>
      </c>
    </row>
    <row r="9" spans="1:4" x14ac:dyDescent="0.3">
      <c r="A9" t="s">
        <v>20</v>
      </c>
      <c r="B9">
        <v>93</v>
      </c>
      <c r="C9">
        <v>34</v>
      </c>
      <c r="D9" t="str">
        <f>VLOOKUP(Table5[[#This Row],[Name]],Table2[],13,FALSE)</f>
        <v>Home Boys</v>
      </c>
    </row>
    <row r="10" spans="1:4" x14ac:dyDescent="0.3">
      <c r="A10" t="s">
        <v>13</v>
      </c>
      <c r="B10">
        <v>97</v>
      </c>
      <c r="C10">
        <v>33</v>
      </c>
      <c r="D10" t="str">
        <f>VLOOKUP(Table5[[#This Row],[Name]],Table2[],13,FALSE)</f>
        <v>Tee Stingers</v>
      </c>
    </row>
    <row r="11" spans="1:4" x14ac:dyDescent="0.3">
      <c r="A11" t="s">
        <v>16</v>
      </c>
      <c r="B11">
        <v>87</v>
      </c>
      <c r="C11">
        <v>33</v>
      </c>
      <c r="D11" t="str">
        <f>VLOOKUP(Table5[[#This Row],[Name]],Table2[],13,FALSE)</f>
        <v>Fairway Fighters</v>
      </c>
    </row>
    <row r="12" spans="1:4" x14ac:dyDescent="0.3">
      <c r="A12" t="s">
        <v>18</v>
      </c>
      <c r="B12">
        <v>92</v>
      </c>
      <c r="C12">
        <v>32</v>
      </c>
      <c r="D12" t="str">
        <f>VLOOKUP(Table5[[#This Row],[Name]],Table2[],13,FALSE)</f>
        <v>Home Boys</v>
      </c>
    </row>
    <row r="13" spans="1:4" x14ac:dyDescent="0.3">
      <c r="A13" t="s">
        <v>12</v>
      </c>
      <c r="B13">
        <v>99</v>
      </c>
      <c r="C13">
        <v>31</v>
      </c>
      <c r="D13" t="str">
        <f>VLOOKUP(Table5[[#This Row],[Name]],Table2[],13,FALSE)</f>
        <v>Tee Tigers</v>
      </c>
    </row>
    <row r="14" spans="1:4" x14ac:dyDescent="0.3">
      <c r="A14" t="s">
        <v>9</v>
      </c>
      <c r="B14">
        <v>102</v>
      </c>
      <c r="C14">
        <v>30</v>
      </c>
      <c r="D14" t="str">
        <f>VLOOKUP(Table5[[#This Row],[Name]],Table2[],13,FALSE)</f>
        <v>Home Boys</v>
      </c>
    </row>
    <row r="15" spans="1:4" x14ac:dyDescent="0.3">
      <c r="A15" t="s">
        <v>58</v>
      </c>
      <c r="B15">
        <v>92</v>
      </c>
      <c r="C15">
        <v>29</v>
      </c>
      <c r="D15" t="str">
        <f>VLOOKUP(Table5[[#This Row],[Name]],Table2[],13,FALSE)</f>
        <v>Birdie Buddies</v>
      </c>
    </row>
    <row r="16" spans="1:4" x14ac:dyDescent="0.3">
      <c r="A16" t="s">
        <v>22</v>
      </c>
      <c r="B16">
        <v>96</v>
      </c>
      <c r="C16">
        <v>28</v>
      </c>
      <c r="D16" t="str">
        <f>VLOOKUP(Table5[[#This Row],[Name]],Table2[],13,FALSE)</f>
        <v>Birdie Buddies</v>
      </c>
    </row>
    <row r="17" spans="1:4" x14ac:dyDescent="0.3">
      <c r="A17" t="s">
        <v>62</v>
      </c>
      <c r="B17">
        <v>103</v>
      </c>
      <c r="C17">
        <v>28</v>
      </c>
      <c r="D17" t="str">
        <f>VLOOKUP(Table5[[#This Row],[Name]],Table2[],13,FALSE)</f>
        <v>Home Boys</v>
      </c>
    </row>
    <row r="18" spans="1:4" x14ac:dyDescent="0.3">
      <c r="A18" t="s">
        <v>8</v>
      </c>
      <c r="B18">
        <v>98</v>
      </c>
      <c r="C18">
        <v>25</v>
      </c>
      <c r="D18" t="str">
        <f>VLOOKUP(Table5[[#This Row],[Name]],Table2[],13,FALSE)</f>
        <v>Tee Tigers</v>
      </c>
    </row>
    <row r="19" spans="1:4" x14ac:dyDescent="0.3">
      <c r="A19" t="s">
        <v>15</v>
      </c>
      <c r="B19">
        <v>105</v>
      </c>
      <c r="C19">
        <v>24</v>
      </c>
      <c r="D19" t="str">
        <f>VLOOKUP(Table5[[#This Row],[Name]],Table2[],13,FALSE)</f>
        <v>Tee Tigers</v>
      </c>
    </row>
    <row r="20" spans="1:4" x14ac:dyDescent="0.3">
      <c r="A20" t="s">
        <v>60</v>
      </c>
      <c r="B20">
        <v>98</v>
      </c>
      <c r="C20">
        <v>24</v>
      </c>
      <c r="D20" t="str">
        <f>VLOOKUP(Table5[[#This Row],[Name]],Table2[],13,FALSE)</f>
        <v>Fairway Fighters</v>
      </c>
    </row>
    <row r="21" spans="1:4" x14ac:dyDescent="0.3">
      <c r="A21" t="s">
        <v>61</v>
      </c>
      <c r="B21">
        <v>99</v>
      </c>
      <c r="C21">
        <v>19</v>
      </c>
      <c r="D21" t="str">
        <f>VLOOKUP(Table5[[#This Row],[Name]],Table2[],13,FALSE)</f>
        <v>Tee Stingers</v>
      </c>
    </row>
    <row r="22" spans="1:4" x14ac:dyDescent="0.3">
      <c r="A22" t="s">
        <v>57</v>
      </c>
      <c r="B22">
        <v>112</v>
      </c>
      <c r="C22">
        <v>15</v>
      </c>
      <c r="D22" t="str">
        <f>VLOOKUP(Table5[[#This Row],[Name]],Table2[],13,FALSE)</f>
        <v>Tee Tigers</v>
      </c>
    </row>
    <row r="23" spans="1:4" x14ac:dyDescent="0.3">
      <c r="A23" t="s">
        <v>59</v>
      </c>
      <c r="B23">
        <v>112</v>
      </c>
      <c r="C23">
        <v>14</v>
      </c>
      <c r="D23" t="str">
        <f>VLOOKUP(Table5[[#This Row],[Name]],Table2[],13,FALSE)</f>
        <v>Tee Tigers</v>
      </c>
    </row>
    <row r="24" spans="1:4" x14ac:dyDescent="0.3">
      <c r="D24" t="e">
        <f>VLOOKUP(Table5[[#This Row],[Name]],Table2[],13,FALSE)</f>
        <v>#N/A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BB95A-EAD4-4CA7-B19C-D9ABB9F62D7F}">
  <dimension ref="A1:F24"/>
  <sheetViews>
    <sheetView workbookViewId="0">
      <selection activeCell="B1" sqref="B1"/>
    </sheetView>
  </sheetViews>
  <sheetFormatPr defaultRowHeight="14.4" x14ac:dyDescent="0.3"/>
  <cols>
    <col min="1" max="1" width="16.77734375" bestFit="1" customWidth="1"/>
    <col min="4" max="4" width="14.109375" bestFit="1" customWidth="1"/>
  </cols>
  <sheetData>
    <row r="1" spans="1:6" x14ac:dyDescent="0.3">
      <c r="A1" t="s">
        <v>33</v>
      </c>
      <c r="B1" t="s">
        <v>23</v>
      </c>
      <c r="C1" t="s">
        <v>34</v>
      </c>
      <c r="D1" t="s">
        <v>68</v>
      </c>
    </row>
    <row r="2" spans="1:6" x14ac:dyDescent="0.3">
      <c r="A2" t="s">
        <v>19</v>
      </c>
      <c r="B2">
        <v>87</v>
      </c>
      <c r="C2">
        <v>35</v>
      </c>
      <c r="D2" t="str">
        <f>VLOOKUP(Table58[[#This Row],[Name]],Table2[],13,FALSE)</f>
        <v>Fairway Fighters</v>
      </c>
    </row>
    <row r="3" spans="1:6" x14ac:dyDescent="0.3">
      <c r="A3" t="s">
        <v>3</v>
      </c>
      <c r="B3">
        <v>90</v>
      </c>
      <c r="C3">
        <v>35</v>
      </c>
      <c r="D3" t="str">
        <f>VLOOKUP(Table58[[#This Row],[Name]],Table2[],13,FALSE)</f>
        <v>Birdie Buddies</v>
      </c>
    </row>
    <row r="4" spans="1:6" x14ac:dyDescent="0.3">
      <c r="A4" t="s">
        <v>16</v>
      </c>
      <c r="B4">
        <v>81</v>
      </c>
      <c r="C4">
        <v>35</v>
      </c>
      <c r="D4" t="str">
        <f>VLOOKUP(Table58[[#This Row],[Name]],Table2[],13,FALSE)</f>
        <v>Fairway Fighters</v>
      </c>
    </row>
    <row r="5" spans="1:6" x14ac:dyDescent="0.3">
      <c r="A5" t="s">
        <v>11</v>
      </c>
      <c r="B5">
        <v>87</v>
      </c>
      <c r="C5">
        <v>32</v>
      </c>
      <c r="D5" t="str">
        <f>VLOOKUP(Table58[[#This Row],[Name]],Table2[],13,FALSE)</f>
        <v>Home Boys</v>
      </c>
    </row>
    <row r="6" spans="1:6" x14ac:dyDescent="0.3">
      <c r="A6" t="s">
        <v>7</v>
      </c>
      <c r="B6">
        <v>96</v>
      </c>
      <c r="C6">
        <v>32</v>
      </c>
      <c r="D6" t="str">
        <f>VLOOKUP(Table58[[#This Row],[Name]],Table2[],13,FALSE)</f>
        <v>Fairway Fighters</v>
      </c>
      <c r="F6">
        <f>SUM(C3:C5)</f>
        <v>102</v>
      </c>
    </row>
    <row r="7" spans="1:6" x14ac:dyDescent="0.3">
      <c r="A7" t="s">
        <v>4</v>
      </c>
      <c r="B7">
        <v>91</v>
      </c>
      <c r="C7">
        <v>31</v>
      </c>
      <c r="D7" t="str">
        <f>VLOOKUP(Table58[[#This Row],[Name]],Table2[],13,FALSE)</f>
        <v>Tee Stingers</v>
      </c>
    </row>
    <row r="8" spans="1:6" x14ac:dyDescent="0.3">
      <c r="A8" t="s">
        <v>6</v>
      </c>
      <c r="B8">
        <v>82</v>
      </c>
      <c r="C8">
        <v>31</v>
      </c>
      <c r="D8" t="str">
        <f>VLOOKUP(Table58[[#This Row],[Name]],Table2[],13,FALSE)</f>
        <v>Birdie Buddies</v>
      </c>
    </row>
    <row r="9" spans="1:6" x14ac:dyDescent="0.3">
      <c r="A9" t="s">
        <v>57</v>
      </c>
      <c r="B9">
        <v>106</v>
      </c>
      <c r="C9">
        <v>30</v>
      </c>
      <c r="D9" t="str">
        <f>VLOOKUP(Table58[[#This Row],[Name]],Table2[],13,FALSE)</f>
        <v>Tee Tigers</v>
      </c>
      <c r="F9">
        <f>SUM(C7:C9)</f>
        <v>92</v>
      </c>
    </row>
    <row r="10" spans="1:6" x14ac:dyDescent="0.3">
      <c r="A10" t="s">
        <v>17</v>
      </c>
      <c r="B10">
        <v>95</v>
      </c>
      <c r="C10">
        <v>30</v>
      </c>
      <c r="D10" t="str">
        <f>VLOOKUP(Table58[[#This Row],[Name]],Table2[],13,FALSE)</f>
        <v>Fairway Fighters</v>
      </c>
    </row>
    <row r="11" spans="1:6" x14ac:dyDescent="0.3">
      <c r="A11" t="s">
        <v>61</v>
      </c>
      <c r="B11">
        <v>93</v>
      </c>
      <c r="C11">
        <v>29</v>
      </c>
      <c r="D11" t="str">
        <f>VLOOKUP(Table58[[#This Row],[Name]],Table2[],13,FALSE)</f>
        <v>Tee Stingers</v>
      </c>
    </row>
    <row r="12" spans="1:6" x14ac:dyDescent="0.3">
      <c r="A12" t="s">
        <v>58</v>
      </c>
      <c r="B12">
        <v>94</v>
      </c>
      <c r="C12">
        <v>28</v>
      </c>
      <c r="D12" t="str">
        <f>VLOOKUP(Table58[[#This Row],[Name]],Table2[],13,FALSE)</f>
        <v>Birdie Buddies</v>
      </c>
    </row>
    <row r="13" spans="1:6" x14ac:dyDescent="0.3">
      <c r="A13" t="s">
        <v>18</v>
      </c>
      <c r="B13">
        <v>95</v>
      </c>
      <c r="C13">
        <v>27</v>
      </c>
      <c r="D13" t="str">
        <f>VLOOKUP(Table58[[#This Row],[Name]],Table2[],13,FALSE)</f>
        <v>Home Boys</v>
      </c>
      <c r="F13">
        <f>SUM(C10:C12)</f>
        <v>87</v>
      </c>
    </row>
    <row r="14" spans="1:6" x14ac:dyDescent="0.3">
      <c r="A14" t="s">
        <v>9</v>
      </c>
      <c r="B14">
        <v>100</v>
      </c>
      <c r="C14">
        <v>27</v>
      </c>
      <c r="D14" t="str">
        <f>VLOOKUP(Table58[[#This Row],[Name]],Table2[],13,FALSE)</f>
        <v>Home Boys</v>
      </c>
    </row>
    <row r="15" spans="1:6" x14ac:dyDescent="0.3">
      <c r="A15" t="s">
        <v>13</v>
      </c>
      <c r="B15">
        <v>101</v>
      </c>
      <c r="C15">
        <v>26</v>
      </c>
      <c r="D15" t="str">
        <f>VLOOKUP(Table58[[#This Row],[Name]],Table2[],13,FALSE)</f>
        <v>Tee Stingers</v>
      </c>
    </row>
    <row r="16" spans="1:6" x14ac:dyDescent="0.3">
      <c r="A16" t="s">
        <v>56</v>
      </c>
      <c r="B16">
        <v>102</v>
      </c>
      <c r="C16">
        <v>23</v>
      </c>
      <c r="D16" t="str">
        <f>VLOOKUP(Table58[[#This Row],[Name]],Table2[],13,FALSE)</f>
        <v>Tee Tigers</v>
      </c>
    </row>
    <row r="17" spans="1:6" x14ac:dyDescent="0.3">
      <c r="A17" t="s">
        <v>8</v>
      </c>
      <c r="B17">
        <v>100</v>
      </c>
      <c r="C17">
        <v>22</v>
      </c>
      <c r="D17" t="str">
        <f>VLOOKUP(Table58[[#This Row],[Name]],Table2[],13,FALSE)</f>
        <v>Tee Tigers</v>
      </c>
    </row>
    <row r="18" spans="1:6" x14ac:dyDescent="0.3">
      <c r="A18" t="s">
        <v>59</v>
      </c>
      <c r="B18">
        <v>115</v>
      </c>
      <c r="C18">
        <v>22</v>
      </c>
      <c r="D18" t="str">
        <f>VLOOKUP(Table58[[#This Row],[Name]],Table2[],13,FALSE)</f>
        <v>Tee Tigers</v>
      </c>
      <c r="F18">
        <f>SUM(C14:C16)</f>
        <v>76</v>
      </c>
    </row>
    <row r="19" spans="1:6" x14ac:dyDescent="0.3">
      <c r="A19" t="s">
        <v>12</v>
      </c>
      <c r="B19">
        <v>108</v>
      </c>
      <c r="C19">
        <v>20</v>
      </c>
      <c r="D19" t="str">
        <f>VLOOKUP(Table58[[#This Row],[Name]],Table2[],13,FALSE)</f>
        <v>Tee Tigers</v>
      </c>
    </row>
    <row r="20" spans="1:6" x14ac:dyDescent="0.3">
      <c r="A20" t="s">
        <v>71</v>
      </c>
      <c r="B20">
        <v>103</v>
      </c>
      <c r="C20">
        <v>23</v>
      </c>
      <c r="D20" t="str">
        <f>VLOOKUP(Table58[[#This Row],[Name]],Table2[],13,FALSE)</f>
        <v>Tee Tigers</v>
      </c>
    </row>
    <row r="21" spans="1:6" x14ac:dyDescent="0.3">
      <c r="A21" t="s">
        <v>5</v>
      </c>
      <c r="D21" t="str">
        <f>VLOOKUP(Table58[[#This Row],[Name]],Table2[],13,FALSE)</f>
        <v>Tee Stingers</v>
      </c>
    </row>
    <row r="22" spans="1:6" x14ac:dyDescent="0.3">
      <c r="A22" t="s">
        <v>20</v>
      </c>
      <c r="D22" t="str">
        <f>VLOOKUP(Table58[[#This Row],[Name]],Table2[],13,FALSE)</f>
        <v>Home Boys</v>
      </c>
      <c r="F22">
        <f>SUM(C19:C21)</f>
        <v>43</v>
      </c>
    </row>
    <row r="23" spans="1:6" x14ac:dyDescent="0.3">
      <c r="A23" t="s">
        <v>62</v>
      </c>
      <c r="D23" t="str">
        <f>VLOOKUP(Table58[[#This Row],[Name]],Table2[],13,FALSE)</f>
        <v>Home Boys</v>
      </c>
    </row>
    <row r="24" spans="1:6" x14ac:dyDescent="0.3">
      <c r="A24" t="s">
        <v>60</v>
      </c>
      <c r="D24" t="str">
        <f>VLOOKUP(Table58[[#This Row],[Name]],Table2[],13,FALSE)</f>
        <v>Fairway Fighters</v>
      </c>
      <c r="F24">
        <f>SUM(C23:C24)</f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37AA5-7940-41A3-80F0-EDA1B8F72512}">
  <dimension ref="A1:D13"/>
  <sheetViews>
    <sheetView workbookViewId="0">
      <selection sqref="A1:D13"/>
    </sheetView>
  </sheetViews>
  <sheetFormatPr defaultRowHeight="14.4" x14ac:dyDescent="0.3"/>
  <cols>
    <col min="1" max="1" width="16.77734375" bestFit="1" customWidth="1"/>
    <col min="2" max="2" width="7.33203125" bestFit="1" customWidth="1"/>
    <col min="3" max="3" width="3.77734375" bestFit="1" customWidth="1"/>
    <col min="4" max="4" width="14.109375" bestFit="1" customWidth="1"/>
  </cols>
  <sheetData>
    <row r="1" spans="1:4" x14ac:dyDescent="0.3">
      <c r="A1" t="s">
        <v>33</v>
      </c>
      <c r="B1" t="s">
        <v>23</v>
      </c>
      <c r="C1" t="s">
        <v>34</v>
      </c>
      <c r="D1" t="s">
        <v>68</v>
      </c>
    </row>
    <row r="2" spans="1:4" x14ac:dyDescent="0.3">
      <c r="A2" t="s">
        <v>19</v>
      </c>
      <c r="B2">
        <v>90</v>
      </c>
      <c r="C2">
        <v>37</v>
      </c>
      <c r="D2" t="str">
        <f>VLOOKUP(Table585[[#This Row],[Name]],Table2[],13,FALSE)</f>
        <v>Fairway Fighters</v>
      </c>
    </row>
    <row r="3" spans="1:4" x14ac:dyDescent="0.3">
      <c r="A3" t="s">
        <v>11</v>
      </c>
      <c r="B3">
        <v>83</v>
      </c>
      <c r="C3">
        <v>37</v>
      </c>
      <c r="D3" t="str">
        <f>VLOOKUP(Table585[[#This Row],[Name]],Table2[],13,FALSE)</f>
        <v>Home Boys</v>
      </c>
    </row>
    <row r="4" spans="1:4" x14ac:dyDescent="0.3">
      <c r="A4" t="s">
        <v>13</v>
      </c>
      <c r="B4">
        <v>93</v>
      </c>
      <c r="C4">
        <v>36</v>
      </c>
      <c r="D4" t="str">
        <f>VLOOKUP(Table585[[#This Row],[Name]],Table2[],13,FALSE)</f>
        <v>Tee Stingers</v>
      </c>
    </row>
    <row r="5" spans="1:4" x14ac:dyDescent="0.3">
      <c r="A5" t="s">
        <v>7</v>
      </c>
      <c r="B5">
        <v>95</v>
      </c>
      <c r="C5">
        <v>35</v>
      </c>
      <c r="D5" t="str">
        <f>VLOOKUP(Table585[[#This Row],[Name]],Table2[],13,FALSE)</f>
        <v>Fairway Fighters</v>
      </c>
    </row>
    <row r="6" spans="1:4" x14ac:dyDescent="0.3">
      <c r="A6" t="s">
        <v>3</v>
      </c>
      <c r="B6">
        <v>93</v>
      </c>
      <c r="C6">
        <v>34</v>
      </c>
      <c r="D6" t="str">
        <f>VLOOKUP(Table585[[#This Row],[Name]],Table2[],13,FALSE)</f>
        <v>Birdie Buddies</v>
      </c>
    </row>
    <row r="7" spans="1:4" x14ac:dyDescent="0.3">
      <c r="A7" t="s">
        <v>60</v>
      </c>
      <c r="B7">
        <v>94</v>
      </c>
      <c r="C7">
        <v>31</v>
      </c>
      <c r="D7" t="str">
        <f>VLOOKUP(Table585[[#This Row],[Name]],Table2[],13,FALSE)</f>
        <v>Fairway Fighters</v>
      </c>
    </row>
    <row r="8" spans="1:4" x14ac:dyDescent="0.3">
      <c r="A8" t="s">
        <v>16</v>
      </c>
      <c r="B8">
        <v>90</v>
      </c>
      <c r="C8">
        <v>29</v>
      </c>
      <c r="D8" t="str">
        <f>VLOOKUP(Table585[[#This Row],[Name]],Table2[],13,FALSE)</f>
        <v>Fairway Fighters</v>
      </c>
    </row>
    <row r="9" spans="1:4" x14ac:dyDescent="0.3">
      <c r="A9" t="s">
        <v>8</v>
      </c>
      <c r="B9">
        <v>93</v>
      </c>
      <c r="C9">
        <v>29</v>
      </c>
      <c r="D9" t="str">
        <f>VLOOKUP(Table585[[#This Row],[Name]],Table2[],13,FALSE)</f>
        <v>Tee Tigers</v>
      </c>
    </row>
    <row r="10" spans="1:4" x14ac:dyDescent="0.3">
      <c r="A10" t="s">
        <v>22</v>
      </c>
      <c r="B10">
        <v>95</v>
      </c>
      <c r="C10">
        <v>28</v>
      </c>
      <c r="D10" t="str">
        <f>VLOOKUP(Table585[[#This Row],[Name]],Table2[],13,FALSE)</f>
        <v>Birdie Buddies</v>
      </c>
    </row>
    <row r="11" spans="1:4" x14ac:dyDescent="0.3">
      <c r="A11" t="s">
        <v>4</v>
      </c>
      <c r="B11">
        <v>99</v>
      </c>
      <c r="C11">
        <v>27</v>
      </c>
      <c r="D11" t="str">
        <f>VLOOKUP(Table585[[#This Row],[Name]],Table2[],13,FALSE)</f>
        <v>Tee Stingers</v>
      </c>
    </row>
    <row r="12" spans="1:4" x14ac:dyDescent="0.3">
      <c r="A12" t="s">
        <v>58</v>
      </c>
      <c r="B12">
        <v>94</v>
      </c>
      <c r="C12">
        <v>25</v>
      </c>
      <c r="D12" t="str">
        <f>VLOOKUP(Table585[[#This Row],[Name]],Table2[],13,FALSE)</f>
        <v>Birdie Buddies</v>
      </c>
    </row>
    <row r="13" spans="1:4" x14ac:dyDescent="0.3">
      <c r="A13" t="s">
        <v>56</v>
      </c>
      <c r="B13">
        <v>104</v>
      </c>
      <c r="C13">
        <v>24</v>
      </c>
      <c r="D13" t="str">
        <f>VLOOKUP(Table585[[#This Row],[Name]],Table2[],13,FALSE)</f>
        <v>Tee Tigers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477B4-5958-44BE-9B7E-968B2302DE2F}">
  <dimension ref="A1:N16"/>
  <sheetViews>
    <sheetView workbookViewId="0">
      <selection activeCell="D23" sqref="D23"/>
    </sheetView>
  </sheetViews>
  <sheetFormatPr defaultRowHeight="14.4" x14ac:dyDescent="0.3"/>
  <cols>
    <col min="1" max="1" width="16.77734375" bestFit="1" customWidth="1"/>
    <col min="2" max="2" width="9.6640625" bestFit="1" customWidth="1"/>
    <col min="3" max="3" width="3.77734375" bestFit="1" customWidth="1"/>
    <col min="4" max="4" width="15" bestFit="1" customWidth="1"/>
    <col min="6" max="6" width="11.5546875" bestFit="1" customWidth="1"/>
  </cols>
  <sheetData>
    <row r="1" spans="1:14" x14ac:dyDescent="0.3">
      <c r="A1" t="s">
        <v>33</v>
      </c>
      <c r="B1" t="s">
        <v>23</v>
      </c>
      <c r="C1" t="s">
        <v>34</v>
      </c>
      <c r="D1" t="s">
        <v>68</v>
      </c>
      <c r="E1" t="s">
        <v>106</v>
      </c>
      <c r="F1" t="s">
        <v>100</v>
      </c>
      <c r="G1" t="s">
        <v>101</v>
      </c>
      <c r="H1" t="s">
        <v>102</v>
      </c>
      <c r="I1" t="s">
        <v>99</v>
      </c>
      <c r="J1" t="s">
        <v>104</v>
      </c>
      <c r="K1" t="s">
        <v>103</v>
      </c>
      <c r="L1" t="s">
        <v>96</v>
      </c>
      <c r="M1" t="s">
        <v>98</v>
      </c>
      <c r="N1" t="s">
        <v>105</v>
      </c>
    </row>
    <row r="2" spans="1:14" x14ac:dyDescent="0.3">
      <c r="A2" t="s">
        <v>14</v>
      </c>
      <c r="B2">
        <v>80</v>
      </c>
      <c r="C2">
        <v>38</v>
      </c>
      <c r="D2" t="str">
        <f>VLOOKUP(Table58549[[#This Row],[Name]],Table2[],13,FALSE)</f>
        <v>Tee Tigers</v>
      </c>
      <c r="E2">
        <v>11</v>
      </c>
      <c r="I2">
        <v>11</v>
      </c>
      <c r="K2">
        <f>Table58549[[#This Row],[Strokes]]-Table58549[[#This Row],[Handicap]]</f>
        <v>69</v>
      </c>
      <c r="L2" t="s">
        <v>97</v>
      </c>
      <c r="M2" s="8"/>
      <c r="N2">
        <v>20</v>
      </c>
    </row>
    <row r="3" spans="1:14" x14ac:dyDescent="0.3">
      <c r="A3" t="s">
        <v>11</v>
      </c>
      <c r="B3">
        <v>85</v>
      </c>
      <c r="C3">
        <v>34</v>
      </c>
      <c r="D3" t="str">
        <f>VLOOKUP(Table58549[[#This Row],[Name]],Table2[],13,FALSE)</f>
        <v>Home Boys</v>
      </c>
      <c r="E3">
        <v>10</v>
      </c>
      <c r="K3">
        <f>Table58549[[#This Row],[Strokes]]-Table58549[[#This Row],[Handicap]]</f>
        <v>75</v>
      </c>
      <c r="L3" t="s">
        <v>97</v>
      </c>
      <c r="M3" s="8"/>
      <c r="N3">
        <v>20</v>
      </c>
    </row>
    <row r="4" spans="1:14" x14ac:dyDescent="0.3">
      <c r="A4" t="s">
        <v>10</v>
      </c>
      <c r="B4">
        <v>88</v>
      </c>
      <c r="C4">
        <v>34</v>
      </c>
      <c r="D4" t="str">
        <f>VLOOKUP(Table58549[[#This Row],[Name]],Table2[],13,FALSE)</f>
        <v>Tee Tigers</v>
      </c>
      <c r="E4">
        <v>14</v>
      </c>
      <c r="H4">
        <v>6</v>
      </c>
      <c r="K4">
        <f>Table58549[[#This Row],[Strokes]]-Table58549[[#This Row],[Handicap]]</f>
        <v>74</v>
      </c>
      <c r="L4" t="s">
        <v>97</v>
      </c>
      <c r="M4" s="8"/>
      <c r="N4">
        <v>20</v>
      </c>
    </row>
    <row r="5" spans="1:14" x14ac:dyDescent="0.3">
      <c r="A5" t="s">
        <v>6</v>
      </c>
      <c r="B5">
        <v>79</v>
      </c>
      <c r="C5">
        <v>32</v>
      </c>
      <c r="D5" t="str">
        <f>VLOOKUP(Table58549[[#This Row],[Name]],Table2[],13,FALSE)</f>
        <v>Birdie Buddies</v>
      </c>
      <c r="E5">
        <v>4</v>
      </c>
      <c r="K5">
        <f>Table58549[[#This Row],[Strokes]]-Table58549[[#This Row],[Handicap]]</f>
        <v>75</v>
      </c>
      <c r="L5" t="s">
        <v>97</v>
      </c>
      <c r="N5">
        <v>20</v>
      </c>
    </row>
    <row r="6" spans="1:14" x14ac:dyDescent="0.3">
      <c r="A6" t="s">
        <v>5</v>
      </c>
      <c r="B6">
        <v>94</v>
      </c>
      <c r="C6">
        <v>32</v>
      </c>
      <c r="D6" t="str">
        <f>VLOOKUP(Table58549[[#This Row],[Name]],Table2[],13,FALSE)</f>
        <v>Tee Stingers</v>
      </c>
      <c r="E6">
        <v>18</v>
      </c>
      <c r="K6">
        <f>Table58549[[#This Row],[Strokes]]-Table58549[[#This Row],[Handicap]]</f>
        <v>76</v>
      </c>
      <c r="L6" t="s">
        <v>97</v>
      </c>
      <c r="N6">
        <v>20</v>
      </c>
    </row>
    <row r="7" spans="1:14" x14ac:dyDescent="0.3">
      <c r="A7" t="s">
        <v>7</v>
      </c>
      <c r="B7">
        <v>99</v>
      </c>
      <c r="C7">
        <v>30</v>
      </c>
      <c r="D7" t="str">
        <f>VLOOKUP(Table58549[[#This Row],[Name]],Table2[],13,FALSE)</f>
        <v>Fairway Fighters</v>
      </c>
      <c r="E7">
        <v>21</v>
      </c>
      <c r="K7">
        <f>Table58549[[#This Row],[Strokes]]-Table58549[[#This Row],[Handicap]]</f>
        <v>78</v>
      </c>
      <c r="L7" t="s">
        <v>97</v>
      </c>
      <c r="N7">
        <v>20</v>
      </c>
    </row>
    <row r="8" spans="1:14" x14ac:dyDescent="0.3">
      <c r="A8" t="s">
        <v>59</v>
      </c>
      <c r="B8">
        <v>112</v>
      </c>
      <c r="C8">
        <v>30</v>
      </c>
      <c r="D8" t="str">
        <f>VLOOKUP(Table58549[[#This Row],[Name]],Table2[],13,FALSE)</f>
        <v>Tee Tigers</v>
      </c>
      <c r="E8">
        <v>32</v>
      </c>
      <c r="K8">
        <f>Table58549[[#This Row],[Strokes]]-Table58549[[#This Row],[Handicap]]</f>
        <v>80</v>
      </c>
      <c r="L8" t="s">
        <v>97</v>
      </c>
      <c r="N8">
        <v>20</v>
      </c>
    </row>
    <row r="9" spans="1:14" x14ac:dyDescent="0.3">
      <c r="A9" t="s">
        <v>16</v>
      </c>
      <c r="B9">
        <v>87</v>
      </c>
      <c r="C9">
        <v>28</v>
      </c>
      <c r="D9" t="str">
        <f>VLOOKUP(Table58549[[#This Row],[Name]],Table2[],13,FALSE)</f>
        <v>Fairway Fighters</v>
      </c>
      <c r="E9">
        <v>7</v>
      </c>
      <c r="K9">
        <f>Table58549[[#This Row],[Strokes]]-Table58549[[#This Row],[Handicap]]</f>
        <v>80</v>
      </c>
      <c r="L9" t="s">
        <v>97</v>
      </c>
      <c r="N9">
        <v>20</v>
      </c>
    </row>
    <row r="10" spans="1:14" x14ac:dyDescent="0.3">
      <c r="A10" t="s">
        <v>18</v>
      </c>
      <c r="B10">
        <v>93</v>
      </c>
      <c r="C10">
        <v>26</v>
      </c>
      <c r="D10" t="str">
        <f>VLOOKUP(Table58549[[#This Row],[Name]],Table2[],13,FALSE)</f>
        <v>Home Boys</v>
      </c>
      <c r="E10">
        <v>14</v>
      </c>
      <c r="F10">
        <v>5</v>
      </c>
      <c r="K10">
        <f>Table58549[[#This Row],[Strokes]]-Table58549[[#This Row],[Handicap]]</f>
        <v>79</v>
      </c>
      <c r="L10" t="s">
        <v>97</v>
      </c>
      <c r="N10">
        <v>20</v>
      </c>
    </row>
    <row r="11" spans="1:14" x14ac:dyDescent="0.3">
      <c r="A11" t="s">
        <v>61</v>
      </c>
      <c r="B11">
        <v>90</v>
      </c>
      <c r="C11">
        <v>25</v>
      </c>
      <c r="D11" t="str">
        <f>VLOOKUP(Table58549[[#This Row],[Name]],Table2[],13,FALSE)</f>
        <v>Tee Stingers</v>
      </c>
      <c r="E11">
        <v>8</v>
      </c>
      <c r="K11">
        <f>Table58549[[#This Row],[Strokes]]-Table58549[[#This Row],[Handicap]]</f>
        <v>82</v>
      </c>
      <c r="L11" t="s">
        <v>97</v>
      </c>
      <c r="N11">
        <v>20</v>
      </c>
    </row>
    <row r="12" spans="1:14" x14ac:dyDescent="0.3">
      <c r="A12" t="s">
        <v>22</v>
      </c>
      <c r="B12">
        <v>96</v>
      </c>
      <c r="C12">
        <v>24</v>
      </c>
      <c r="D12" t="str">
        <f>VLOOKUP(Table58549[[#This Row],[Name]],Table2[],13,FALSE)</f>
        <v>Birdie Buddies</v>
      </c>
      <c r="E12">
        <v>11</v>
      </c>
      <c r="G12">
        <v>14</v>
      </c>
      <c r="K12">
        <f>Table58549[[#This Row],[Strokes]]-Table58549[[#This Row],[Handicap]]</f>
        <v>85</v>
      </c>
      <c r="L12" t="s">
        <v>97</v>
      </c>
      <c r="N12">
        <v>20</v>
      </c>
    </row>
    <row r="13" spans="1:14" x14ac:dyDescent="0.3">
      <c r="A13" t="s">
        <v>9</v>
      </c>
      <c r="B13">
        <v>104</v>
      </c>
      <c r="C13">
        <v>24</v>
      </c>
      <c r="D13" t="str">
        <f>VLOOKUP(Table58549[[#This Row],[Name]],Table2[],13,FALSE)</f>
        <v>Home Boys</v>
      </c>
      <c r="E13">
        <v>22</v>
      </c>
      <c r="K13">
        <f>Table58549[[#This Row],[Strokes]]-Table58549[[#This Row],[Handicap]]</f>
        <v>82</v>
      </c>
      <c r="L13" t="s">
        <v>97</v>
      </c>
      <c r="N13">
        <v>20</v>
      </c>
    </row>
    <row r="14" spans="1:14" x14ac:dyDescent="0.3">
      <c r="A14" t="s">
        <v>4</v>
      </c>
      <c r="B14">
        <v>100</v>
      </c>
      <c r="C14">
        <v>24</v>
      </c>
      <c r="D14" t="str">
        <f>VLOOKUP(Table58549[[#This Row],[Name]],Table2[],13,FALSE)</f>
        <v>Tee Stingers</v>
      </c>
      <c r="E14">
        <v>15</v>
      </c>
      <c r="K14">
        <f>Table58549[[#This Row],[Strokes]]-Table58549[[#This Row],[Handicap]]</f>
        <v>85</v>
      </c>
      <c r="L14" t="s">
        <v>97</v>
      </c>
      <c r="N14">
        <v>20</v>
      </c>
    </row>
    <row r="15" spans="1:14" x14ac:dyDescent="0.3">
      <c r="A15" t="s">
        <v>17</v>
      </c>
      <c r="B15">
        <v>110</v>
      </c>
      <c r="C15">
        <v>18</v>
      </c>
      <c r="D15" t="str">
        <f>VLOOKUP(Table58549[[#This Row],[Name]],Table2[],13,FALSE)</f>
        <v>Fairway Fighters</v>
      </c>
      <c r="E15">
        <v>19</v>
      </c>
      <c r="K15">
        <f>Table58549[[#This Row],[Strokes]]-Table58549[[#This Row],[Handicap]]</f>
        <v>91</v>
      </c>
      <c r="L15" t="s">
        <v>97</v>
      </c>
      <c r="N15">
        <v>20</v>
      </c>
    </row>
    <row r="16" spans="1:14" x14ac:dyDescent="0.3">
      <c r="A16" t="s">
        <v>8</v>
      </c>
      <c r="B16">
        <v>102</v>
      </c>
      <c r="C16">
        <v>16</v>
      </c>
      <c r="D16" t="str">
        <f>VLOOKUP(Table58549[[#This Row],[Name]],Table2[],13,FALSE)</f>
        <v>Tee Tigers</v>
      </c>
      <c r="E16">
        <v>10</v>
      </c>
      <c r="K16">
        <f>Table58549[[#This Row],[Strokes]]-Table58549[[#This Row],[Handicap]]</f>
        <v>92</v>
      </c>
      <c r="L16" t="s">
        <v>97</v>
      </c>
      <c r="N16">
        <v>20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57AF9E7-5077-4D21-8B92-A0C46688F073}">
          <x14:formula1>
            <xm:f>IPS!$A$2:$A$28</xm:f>
          </x14:formula1>
          <xm:sqref>A2:A16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48236-E4FB-42E2-AD01-AC7C53C3BCFA}">
  <dimension ref="A1:N21"/>
  <sheetViews>
    <sheetView workbookViewId="0">
      <selection activeCell="E1" sqref="E1:N10"/>
    </sheetView>
  </sheetViews>
  <sheetFormatPr defaultRowHeight="14.4" x14ac:dyDescent="0.3"/>
  <cols>
    <col min="1" max="1" width="16.77734375" bestFit="1" customWidth="1"/>
    <col min="2" max="2" width="7.33203125" bestFit="1" customWidth="1"/>
    <col min="3" max="3" width="3.77734375" bestFit="1" customWidth="1"/>
    <col min="4" max="4" width="14.109375" bestFit="1" customWidth="1"/>
    <col min="5" max="5" width="9.109375" bestFit="1" customWidth="1"/>
    <col min="6" max="7" width="4.44140625" bestFit="1" customWidth="1"/>
    <col min="8" max="9" width="4.109375" bestFit="1" customWidth="1"/>
    <col min="10" max="10" width="3.44140625" bestFit="1" customWidth="1"/>
    <col min="11" max="11" width="4.109375" customWidth="1"/>
    <col min="12" max="12" width="7.77734375" bestFit="1" customWidth="1"/>
    <col min="13" max="13" width="11.5546875" bestFit="1" customWidth="1"/>
  </cols>
  <sheetData>
    <row r="1" spans="1:14" x14ac:dyDescent="0.3">
      <c r="A1" t="s">
        <v>33</v>
      </c>
      <c r="B1" t="s">
        <v>23</v>
      </c>
      <c r="C1" t="s">
        <v>34</v>
      </c>
      <c r="D1" t="s">
        <v>68</v>
      </c>
      <c r="E1" t="s">
        <v>106</v>
      </c>
      <c r="F1" t="s">
        <v>100</v>
      </c>
      <c r="G1" t="s">
        <v>101</v>
      </c>
      <c r="H1" t="s">
        <v>102</v>
      </c>
      <c r="I1" t="s">
        <v>99</v>
      </c>
      <c r="J1" t="s">
        <v>104</v>
      </c>
      <c r="K1" t="s">
        <v>103</v>
      </c>
      <c r="L1" t="s">
        <v>96</v>
      </c>
      <c r="M1" t="s">
        <v>98</v>
      </c>
      <c r="N1" t="s">
        <v>105</v>
      </c>
    </row>
    <row r="2" spans="1:14" x14ac:dyDescent="0.3">
      <c r="A2" t="s">
        <v>14</v>
      </c>
      <c r="B2">
        <v>0</v>
      </c>
      <c r="C2">
        <v>0</v>
      </c>
      <c r="D2" t="str">
        <f>VLOOKUP(Table5854910[[#This Row],[Name]],Table2[],13,FALSE)</f>
        <v>Tee Tigers</v>
      </c>
      <c r="M2" s="8"/>
    </row>
    <row r="3" spans="1:14" x14ac:dyDescent="0.3">
      <c r="A3" t="s">
        <v>11</v>
      </c>
      <c r="B3">
        <v>0</v>
      </c>
      <c r="C3">
        <v>0</v>
      </c>
      <c r="D3" t="str">
        <f>VLOOKUP(Table5854910[[#This Row],[Name]],Table2[],13,FALSE)</f>
        <v>Home Boys</v>
      </c>
      <c r="M3" s="8"/>
    </row>
    <row r="4" spans="1:14" x14ac:dyDescent="0.3">
      <c r="A4" t="s">
        <v>10</v>
      </c>
      <c r="B4">
        <v>0</v>
      </c>
      <c r="C4">
        <v>0</v>
      </c>
      <c r="D4" t="str">
        <f>VLOOKUP(Table5854910[[#This Row],[Name]],Table2[],13,FALSE)</f>
        <v>Tee Tigers</v>
      </c>
      <c r="M4" s="8"/>
    </row>
    <row r="5" spans="1:14" x14ac:dyDescent="0.3">
      <c r="A5" t="s">
        <v>6</v>
      </c>
      <c r="B5">
        <v>0</v>
      </c>
      <c r="C5">
        <v>0</v>
      </c>
      <c r="D5" t="str">
        <f>VLOOKUP(Table5854910[[#This Row],[Name]],Table2[],13,FALSE)</f>
        <v>Birdie Buddies</v>
      </c>
    </row>
    <row r="6" spans="1:14" x14ac:dyDescent="0.3">
      <c r="A6" t="s">
        <v>5</v>
      </c>
      <c r="B6">
        <v>0</v>
      </c>
      <c r="C6">
        <v>0</v>
      </c>
      <c r="D6" t="str">
        <f>VLOOKUP(Table5854910[[#This Row],[Name]],Table2[],13,FALSE)</f>
        <v>Tee Stingers</v>
      </c>
    </row>
    <row r="7" spans="1:14" x14ac:dyDescent="0.3">
      <c r="A7" t="s">
        <v>7</v>
      </c>
      <c r="B7">
        <v>0</v>
      </c>
      <c r="C7">
        <v>0</v>
      </c>
      <c r="D7" t="str">
        <f>VLOOKUP(Table5854910[[#This Row],[Name]],Table2[],13,FALSE)</f>
        <v>Fairway Fighters</v>
      </c>
    </row>
    <row r="8" spans="1:14" x14ac:dyDescent="0.3">
      <c r="A8" t="s">
        <v>59</v>
      </c>
      <c r="B8">
        <v>0</v>
      </c>
      <c r="C8">
        <v>0</v>
      </c>
      <c r="D8" t="str">
        <f>VLOOKUP(Table5854910[[#This Row],[Name]],Table2[],13,FALSE)</f>
        <v>Tee Tigers</v>
      </c>
    </row>
    <row r="9" spans="1:14" x14ac:dyDescent="0.3">
      <c r="A9" t="s">
        <v>16</v>
      </c>
      <c r="B9">
        <v>0</v>
      </c>
      <c r="C9">
        <v>0</v>
      </c>
      <c r="D9" t="str">
        <f>VLOOKUP(Table5854910[[#This Row],[Name]],Table2[],13,FALSE)</f>
        <v>Fairway Fighters</v>
      </c>
    </row>
    <row r="10" spans="1:14" x14ac:dyDescent="0.3">
      <c r="A10" t="s">
        <v>18</v>
      </c>
      <c r="B10">
        <v>0</v>
      </c>
      <c r="C10">
        <v>0</v>
      </c>
      <c r="D10" t="str">
        <f>VLOOKUP(Table5854910[[#This Row],[Name]],Table2[],13,FALSE)</f>
        <v>Home Boys</v>
      </c>
    </row>
    <row r="11" spans="1:14" x14ac:dyDescent="0.3">
      <c r="A11" t="s">
        <v>61</v>
      </c>
      <c r="B11">
        <v>0</v>
      </c>
      <c r="C11">
        <v>0</v>
      </c>
      <c r="D11" t="str">
        <f>VLOOKUP(Table5854910[[#This Row],[Name]],Table2[],13,FALSE)</f>
        <v>Tee Stingers</v>
      </c>
    </row>
    <row r="12" spans="1:14" x14ac:dyDescent="0.3">
      <c r="A12" t="s">
        <v>22</v>
      </c>
      <c r="B12">
        <v>0</v>
      </c>
      <c r="C12">
        <v>0</v>
      </c>
      <c r="D12" t="str">
        <f>VLOOKUP(Table5854910[[#This Row],[Name]],Table2[],13,FALSE)</f>
        <v>Birdie Buddies</v>
      </c>
    </row>
    <row r="13" spans="1:14" x14ac:dyDescent="0.3">
      <c r="A13" t="s">
        <v>9</v>
      </c>
      <c r="B13">
        <v>0</v>
      </c>
      <c r="C13">
        <v>0</v>
      </c>
      <c r="D13" t="str">
        <f>VLOOKUP(Table5854910[[#This Row],[Name]],Table2[],13,FALSE)</f>
        <v>Home Boys</v>
      </c>
    </row>
    <row r="14" spans="1:14" x14ac:dyDescent="0.3">
      <c r="A14" t="s">
        <v>4</v>
      </c>
      <c r="B14">
        <v>0</v>
      </c>
      <c r="C14">
        <v>0</v>
      </c>
      <c r="D14" t="str">
        <f>VLOOKUP(Table5854910[[#This Row],[Name]],Table2[],13,FALSE)</f>
        <v>Tee Stingers</v>
      </c>
    </row>
    <row r="15" spans="1:14" x14ac:dyDescent="0.3">
      <c r="A15" t="s">
        <v>17</v>
      </c>
      <c r="B15">
        <v>0</v>
      </c>
      <c r="C15">
        <v>0</v>
      </c>
      <c r="D15" t="str">
        <f>VLOOKUP(Table5854910[[#This Row],[Name]],Table2[],13,FALSE)</f>
        <v>Fairway Fighters</v>
      </c>
    </row>
    <row r="16" spans="1:14" x14ac:dyDescent="0.3">
      <c r="A16" t="s">
        <v>8</v>
      </c>
      <c r="B16">
        <v>0</v>
      </c>
      <c r="C16">
        <v>0</v>
      </c>
      <c r="D16" t="str">
        <f>VLOOKUP(Table5854910[[#This Row],[Name]],Table2[],13,FALSE)</f>
        <v>Tee Tigers</v>
      </c>
    </row>
    <row r="17" spans="1:4" x14ac:dyDescent="0.3">
      <c r="A17" t="s">
        <v>3</v>
      </c>
      <c r="B17">
        <v>0</v>
      </c>
      <c r="C17">
        <v>0</v>
      </c>
      <c r="D17" t="str">
        <f>VLOOKUP(Table5854910[[#This Row],[Name]],Table2[],13,FALSE)</f>
        <v>Birdie Buddies</v>
      </c>
    </row>
    <row r="18" spans="1:4" x14ac:dyDescent="0.3">
      <c r="A18" t="s">
        <v>12</v>
      </c>
      <c r="B18">
        <v>0</v>
      </c>
      <c r="C18">
        <v>0</v>
      </c>
      <c r="D18" t="str">
        <f>VLOOKUP(Table5854910[[#This Row],[Name]],Table2[],13,FALSE)</f>
        <v>Tee Tigers</v>
      </c>
    </row>
    <row r="19" spans="1:4" x14ac:dyDescent="0.3">
      <c r="A19" t="s">
        <v>62</v>
      </c>
      <c r="B19">
        <v>0</v>
      </c>
      <c r="C19">
        <v>0</v>
      </c>
      <c r="D19" t="str">
        <f>VLOOKUP(Table5854910[[#This Row],[Name]],Table2[],13,FALSE)</f>
        <v>Home Boys</v>
      </c>
    </row>
    <row r="20" spans="1:4" x14ac:dyDescent="0.3">
      <c r="A20" t="s">
        <v>19</v>
      </c>
      <c r="B20">
        <v>0</v>
      </c>
      <c r="C20">
        <v>0</v>
      </c>
      <c r="D20" t="str">
        <f>VLOOKUP(Table5854910[[#This Row],[Name]],Table2[],13,FALSE)</f>
        <v>Fairway Fighters</v>
      </c>
    </row>
    <row r="21" spans="1:4" x14ac:dyDescent="0.3">
      <c r="A21" t="s">
        <v>13</v>
      </c>
      <c r="B21">
        <v>0</v>
      </c>
      <c r="C21">
        <v>0</v>
      </c>
      <c r="D21" t="str">
        <f>VLOOKUP(Table5854910[[#This Row],[Name]],Table2[],13,FALSE)</f>
        <v>Tee Stingers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55DDD8-F8EF-48D8-B9D8-FB6FD40D6235}">
          <x14:formula1>
            <xm:f>IPS!$A$2:$A$28</xm:f>
          </x14:formula1>
          <xm:sqref>A2:A21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FA63F-BA8C-4AE8-A392-1F7FC0F6B880}">
  <dimension ref="A1:D13"/>
  <sheetViews>
    <sheetView workbookViewId="0">
      <selection activeCell="I2" sqref="I2:I27"/>
    </sheetView>
  </sheetViews>
  <sheetFormatPr defaultRowHeight="14.4" x14ac:dyDescent="0.3"/>
  <cols>
    <col min="1" max="1" width="16.77734375" bestFit="1" customWidth="1"/>
  </cols>
  <sheetData>
    <row r="1" spans="1:4" x14ac:dyDescent="0.3">
      <c r="A1" t="s">
        <v>33</v>
      </c>
      <c r="B1" t="s">
        <v>23</v>
      </c>
      <c r="C1" t="s">
        <v>34</v>
      </c>
      <c r="D1" t="s">
        <v>68</v>
      </c>
    </row>
    <row r="2" spans="1:4" x14ac:dyDescent="0.3">
      <c r="A2" t="s">
        <v>19</v>
      </c>
      <c r="B2">
        <v>90</v>
      </c>
      <c r="C2">
        <v>37</v>
      </c>
      <c r="D2" t="str">
        <f>VLOOKUP(Table5854[[#This Row],[Name]],Table2[],13,FALSE)</f>
        <v>Fairway Fighters</v>
      </c>
    </row>
    <row r="3" spans="1:4" x14ac:dyDescent="0.3">
      <c r="A3" t="s">
        <v>11</v>
      </c>
      <c r="B3">
        <v>83</v>
      </c>
      <c r="C3">
        <v>37</v>
      </c>
      <c r="D3" t="str">
        <f>VLOOKUP(Table5854[[#This Row],[Name]],Table2[],13,FALSE)</f>
        <v>Home Boys</v>
      </c>
    </row>
    <row r="4" spans="1:4" x14ac:dyDescent="0.3">
      <c r="A4" t="s">
        <v>13</v>
      </c>
      <c r="B4">
        <v>93</v>
      </c>
      <c r="C4">
        <v>36</v>
      </c>
      <c r="D4" t="str">
        <f>VLOOKUP(Table5854[[#This Row],[Name]],Table2[],13,FALSE)</f>
        <v>Tee Stingers</v>
      </c>
    </row>
    <row r="5" spans="1:4" x14ac:dyDescent="0.3">
      <c r="A5" t="s">
        <v>7</v>
      </c>
      <c r="B5">
        <v>95</v>
      </c>
      <c r="C5">
        <v>35</v>
      </c>
      <c r="D5" t="str">
        <f>VLOOKUP(Table5854[[#This Row],[Name]],Table2[],13,FALSE)</f>
        <v>Fairway Fighters</v>
      </c>
    </row>
    <row r="6" spans="1:4" x14ac:dyDescent="0.3">
      <c r="A6" t="s">
        <v>3</v>
      </c>
      <c r="B6">
        <v>93</v>
      </c>
      <c r="C6">
        <v>34</v>
      </c>
      <c r="D6" t="str">
        <f>VLOOKUP(Table5854[[#This Row],[Name]],Table2[],13,FALSE)</f>
        <v>Birdie Buddies</v>
      </c>
    </row>
    <row r="7" spans="1:4" x14ac:dyDescent="0.3">
      <c r="A7" t="s">
        <v>60</v>
      </c>
      <c r="B7">
        <v>94</v>
      </c>
      <c r="C7">
        <v>31</v>
      </c>
      <c r="D7" t="str">
        <f>VLOOKUP(Table5854[[#This Row],[Name]],Table2[],13,FALSE)</f>
        <v>Fairway Fighters</v>
      </c>
    </row>
    <row r="8" spans="1:4" x14ac:dyDescent="0.3">
      <c r="A8" t="s">
        <v>16</v>
      </c>
      <c r="B8">
        <v>90</v>
      </c>
      <c r="C8">
        <v>29</v>
      </c>
      <c r="D8" t="str">
        <f>VLOOKUP(Table5854[[#This Row],[Name]],Table2[],13,FALSE)</f>
        <v>Fairway Fighters</v>
      </c>
    </row>
    <row r="9" spans="1:4" x14ac:dyDescent="0.3">
      <c r="A9" t="s">
        <v>8</v>
      </c>
      <c r="B9">
        <v>93</v>
      </c>
      <c r="C9">
        <v>29</v>
      </c>
      <c r="D9" t="str">
        <f>VLOOKUP(Table5854[[#This Row],[Name]],Table2[],13,FALSE)</f>
        <v>Tee Tigers</v>
      </c>
    </row>
    <row r="10" spans="1:4" x14ac:dyDescent="0.3">
      <c r="A10" t="s">
        <v>22</v>
      </c>
      <c r="B10">
        <v>95</v>
      </c>
      <c r="C10">
        <v>28</v>
      </c>
      <c r="D10" t="str">
        <f>VLOOKUP(Table5854[[#This Row],[Name]],Table2[],13,FALSE)</f>
        <v>Birdie Buddies</v>
      </c>
    </row>
    <row r="11" spans="1:4" x14ac:dyDescent="0.3">
      <c r="A11" t="s">
        <v>4</v>
      </c>
      <c r="B11">
        <v>99</v>
      </c>
      <c r="C11">
        <v>27</v>
      </c>
      <c r="D11" t="str">
        <f>VLOOKUP(Table5854[[#This Row],[Name]],Table2[],13,FALSE)</f>
        <v>Tee Stingers</v>
      </c>
    </row>
    <row r="12" spans="1:4" x14ac:dyDescent="0.3">
      <c r="A12" t="s">
        <v>58</v>
      </c>
      <c r="B12">
        <v>94</v>
      </c>
      <c r="C12">
        <v>25</v>
      </c>
      <c r="D12" t="str">
        <f>VLOOKUP(Table5854[[#This Row],[Name]],Table2[],13,FALSE)</f>
        <v>Birdie Buddies</v>
      </c>
    </row>
    <row r="13" spans="1:4" x14ac:dyDescent="0.3">
      <c r="A13" t="s">
        <v>56</v>
      </c>
      <c r="B13">
        <v>104</v>
      </c>
      <c r="C13">
        <v>24</v>
      </c>
      <c r="D13" t="str">
        <f>VLOOKUP(Table5854[[#This Row],[Name]],Table2[],13,FALSE)</f>
        <v>Tee Tigers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2E37077-241F-4F9F-A8D2-EFD4E80A0F18}">
          <x14:formula1>
            <xm:f>IPS!$A$2:$A$28</xm:f>
          </x14:formula1>
          <xm:sqref>A2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IPS</vt:lpstr>
      <vt:lpstr>Strokes</vt:lpstr>
      <vt:lpstr>LIV</vt:lpstr>
      <vt:lpstr>Akasia</vt:lpstr>
      <vt:lpstr>PGC</vt:lpstr>
      <vt:lpstr>Kyalami</vt:lpstr>
      <vt:lpstr>CopperLeaf</vt:lpstr>
      <vt:lpstr>Services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Lucien Barnes</dc:creator>
  <cp:lastModifiedBy>Lucien Barnes</cp:lastModifiedBy>
  <dcterms:created xsi:type="dcterms:W3CDTF">2025-03-02T11:02:38Z</dcterms:created>
  <dcterms:modified xsi:type="dcterms:W3CDTF">2026-05-15T19:07:49Z</dcterms:modified>
</cp:coreProperties>
</file>